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D:\Geek_Brains\Диплом\Диплом\Excel\"/>
    </mc:Choice>
  </mc:AlternateContent>
  <xr:revisionPtr revIDLastSave="0" documentId="13_ncr:1_{02660049-BEA0-4346-AE44-1458DB626D05}" xr6:coauthVersionLast="37" xr6:coauthVersionMax="37" xr10:uidLastSave="{00000000-0000-0000-0000-000000000000}"/>
  <bookViews>
    <workbookView xWindow="0" yWindow="0" windowWidth="20490" windowHeight="9045" xr2:uid="{00000000-000D-0000-FFFF-FFFF00000000}"/>
  </bookViews>
  <sheets>
    <sheet name="DASHBOARD" sheetId="2" r:id="rId1"/>
    <sheet name="Processing" sheetId="1" r:id="rId2"/>
    <sheet name="Data" sheetId="3" r:id="rId3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5" i="1"/>
  <c r="B4" i="1"/>
  <c r="B3" i="1"/>
  <c r="B2" i="1"/>
  <c r="B9" i="1" l="1"/>
  <c r="P5" i="2"/>
  <c r="F3" i="3"/>
  <c r="G3" i="1" s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G6" i="1" l="1"/>
  <c r="G4" i="1"/>
  <c r="G5" i="1"/>
  <c r="G2" i="1"/>
  <c r="E6" i="1"/>
  <c r="G7" i="1" l="1"/>
  <c r="B7" i="1" s="1"/>
  <c r="E7" i="1" s="1"/>
  <c r="E5" i="1"/>
  <c r="E4" i="1"/>
  <c r="E2" i="1"/>
  <c r="E3" i="1"/>
  <c r="P3" i="2" l="1"/>
  <c r="C3" i="1" l="1"/>
  <c r="C4" i="1"/>
  <c r="C5" i="1"/>
  <c r="C6" i="1"/>
  <c r="C2" i="1"/>
</calcChain>
</file>

<file path=xl/sharedStrings.xml><?xml version="1.0" encoding="utf-8"?>
<sst xmlns="http://schemas.openxmlformats.org/spreadsheetml/2006/main" count="63" uniqueCount="27">
  <si>
    <t>Project 1</t>
  </si>
  <si>
    <t>Project 2</t>
  </si>
  <si>
    <t>Project 3</t>
  </si>
  <si>
    <t>Project 4</t>
  </si>
  <si>
    <t>Project 5</t>
  </si>
  <si>
    <t>I</t>
  </si>
  <si>
    <t>II</t>
  </si>
  <si>
    <t>III</t>
  </si>
  <si>
    <t>IV</t>
  </si>
  <si>
    <t>Value1</t>
  </si>
  <si>
    <t>Value2</t>
  </si>
  <si>
    <t>Value3</t>
  </si>
  <si>
    <t>Value4</t>
  </si>
  <si>
    <t>Value5</t>
  </si>
  <si>
    <t>ID</t>
  </si>
  <si>
    <t>temp</t>
  </si>
  <si>
    <t>МАКРОСЫ:</t>
  </si>
  <si>
    <t>КВАРТАЛ:</t>
  </si>
  <si>
    <t>Метки</t>
  </si>
  <si>
    <t>отступ</t>
  </si>
  <si>
    <t>ИТОГО</t>
  </si>
  <si>
    <t>Инвестиции</t>
  </si>
  <si>
    <t>Доход</t>
  </si>
  <si>
    <t>Расходы</t>
  </si>
  <si>
    <t>Маржа</t>
  </si>
  <si>
    <t>Квартал</t>
  </si>
  <si>
    <t>←скорость анимации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</si>
</sst>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1"/>
      <scheme val="minor"/>
    </font>
    <font>
      <b/>
      <sz val="20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7"/>
      <color theme="1"/>
      <name val="Calibri"/>
      <family val="2"/>
      <charset val="1"/>
      <scheme val="minor"/>
    </font>
    <font>
      <u/>
      <sz val="11"/>
      <color theme="10"/>
      <name val="Calibri"/>
      <family val="2"/>
      <charset val="1"/>
      <scheme val="minor"/>
    </font>
    <font>
      <u/>
      <sz val="20"/>
      <color theme="0"/>
      <name val="Calibri"/>
      <family val="2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3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1" fontId="0" fillId="0" borderId="0" xfId="0" applyNumberFormat="1"/>
    <xf numFmtId="0" fontId="2" fillId="0" borderId="0" xfId="0" applyFont="1" applyAlignment="1">
      <alignment horizontal="left" wrapText="1"/>
    </xf>
    <xf numFmtId="0" fontId="4" fillId="2" borderId="0" xfId="0" applyFont="1" applyFill="1" applyAlignment="1">
      <alignment horizontal="center" vertical="center"/>
    </xf>
    <xf numFmtId="0" fontId="6" fillId="2" borderId="0" xfId="1" applyFont="1" applyFill="1" applyAlignment="1">
      <alignment horizontal="center"/>
    </xf>
    <xf numFmtId="0" fontId="6" fillId="0" borderId="0" xfId="1" applyFont="1" applyFill="1" applyAlignment="1">
      <alignment horizontal="center"/>
    </xf>
  </cellXfs>
  <cellStyles count="2">
    <cellStyle name="Гиперссылка" xfId="1" builtinId="8"/>
    <cellStyle name="Обычный" xfId="0" builtinId="0"/>
  </cellStyles>
  <dxfs count="1">
    <dxf>
      <font>
        <color rgb="FFFF0000"/>
      </font>
    </dxf>
  </dxfs>
  <tableStyles count="0" defaultTableStyle="TableStyleMedium2" defaultPivotStyle="PivotStyleLight16"/>
  <colors>
    <mruColors>
      <color rgb="FFFF0000"/>
      <color rgb="FF31A2B9"/>
      <color rgb="FFA62CBE"/>
      <color rgb="FFE9018B"/>
      <color rgb="FF00FF00"/>
      <color rgb="FF5FB832"/>
      <color rgb="FFE10186"/>
      <color rgb="FFFF3300"/>
      <color rgb="FFC32727"/>
      <color rgb="FF9696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12" Type="http://schemas.openxmlformats.org/officeDocument/2006/relationships/image" Target="../media/image10.png"/><Relationship Id="rId2" Type="http://schemas.microsoft.com/office/2011/relationships/chartColorStyle" Target="colors1.xml"/><Relationship Id="rId1" Type="http://schemas.microsoft.com/office/2011/relationships/chartStyle" Target="style1.xml"/><Relationship Id="rId6" Type="http://schemas.openxmlformats.org/officeDocument/2006/relationships/image" Target="../media/image4.png"/><Relationship Id="rId11" Type="http://schemas.openxmlformats.org/officeDocument/2006/relationships/image" Target="../media/image9.png"/><Relationship Id="rId5" Type="http://schemas.openxmlformats.org/officeDocument/2006/relationships/image" Target="../media/image3.png"/><Relationship Id="rId10" Type="http://schemas.openxmlformats.org/officeDocument/2006/relationships/image" Target="../media/image8.png"/><Relationship Id="rId4" Type="http://schemas.openxmlformats.org/officeDocument/2006/relationships/image" Target="../media/image2.png"/><Relationship Id="rId9" Type="http://schemas.openxmlformats.org/officeDocument/2006/relationships/image" Target="../media/image7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346-4B2D-927E-68A58C135D77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346-4B2D-927E-68A58C135D77}"/>
              </c:ext>
            </c:extLst>
          </c:dPt>
          <c:dPt>
            <c:idx val="2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346-4B2D-927E-68A58C135D77}"/>
              </c:ext>
            </c:extLst>
          </c:dPt>
          <c:dPt>
            <c:idx val="3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346-4B2D-927E-68A58C135D77}"/>
              </c:ext>
            </c:extLst>
          </c:dPt>
          <c:dPt>
            <c:idx val="4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346-4B2D-927E-68A58C135D77}"/>
              </c:ext>
            </c:extLst>
          </c:dPt>
          <c:val>
            <c:numRef>
              <c:f>Processing!$B$2:$B$6</c:f>
              <c:numCache>
                <c:formatCode>0</c:formatCode>
                <c:ptCount val="5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58</c:v>
                </c:pt>
                <c:pt idx="4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346-4B2D-927E-68A58C135D77}"/>
            </c:ext>
          </c:extLst>
        </c:ser>
        <c:ser>
          <c:idx val="2"/>
          <c:order val="1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8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7346-4B2D-927E-68A58C135D77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9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346-4B2D-927E-68A58C135D77}"/>
              </c:ext>
            </c:extLst>
          </c:dPt>
          <c:dPt>
            <c:idx val="2"/>
            <c:invertIfNegative val="0"/>
            <c:bubble3D val="0"/>
            <c:spPr>
              <a:blipFill>
                <a:blip xmlns:r="http://schemas.openxmlformats.org/officeDocument/2006/relationships" r:embed="rId10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7346-4B2D-927E-68A58C135D77}"/>
              </c:ext>
            </c:extLst>
          </c:dPt>
          <c:dPt>
            <c:idx val="3"/>
            <c:invertIfNegative val="0"/>
            <c:bubble3D val="0"/>
            <c:spPr>
              <a:blipFill>
                <a:blip xmlns:r="http://schemas.openxmlformats.org/officeDocument/2006/relationships" r:embed="rId11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346-4B2D-927E-68A58C135D77}"/>
              </c:ext>
            </c:extLst>
          </c:dPt>
          <c:dPt>
            <c:idx val="4"/>
            <c:invertIfNegative val="0"/>
            <c:bubble3D val="0"/>
            <c:spPr>
              <a:blipFill>
                <a:blip xmlns:r="http://schemas.openxmlformats.org/officeDocument/2006/relationships" r:embed="rId12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7346-4B2D-927E-68A58C135D77}"/>
              </c:ext>
            </c:extLst>
          </c:dPt>
          <c:val>
            <c:numRef>
              <c:f>Processing!$C$2:$C$6</c:f>
              <c:numCache>
                <c:formatCode>General</c:formatCode>
                <c:ptCount val="5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346-4B2D-927E-68A58C135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15541504"/>
        <c:axId val="71104704"/>
      </c:barChart>
      <c:catAx>
        <c:axId val="115541504"/>
        <c:scaling>
          <c:orientation val="minMax"/>
        </c:scaling>
        <c:delete val="1"/>
        <c:axPos val="b"/>
        <c:majorTickMark val="none"/>
        <c:minorTickMark val="none"/>
        <c:tickLblPos val="nextTo"/>
        <c:crossAx val="71104704"/>
        <c:crosses val="autoZero"/>
        <c:auto val="1"/>
        <c:lblAlgn val="ctr"/>
        <c:lblOffset val="100"/>
        <c:noMultiLvlLbl val="0"/>
      </c:catAx>
      <c:valAx>
        <c:axId val="71104704"/>
        <c:scaling>
          <c:orientation val="minMax"/>
          <c:max val="118"/>
        </c:scaling>
        <c:delete val="1"/>
        <c:axPos val="l"/>
        <c:numFmt formatCode="0" sourceLinked="1"/>
        <c:majorTickMark val="out"/>
        <c:minorTickMark val="none"/>
        <c:tickLblPos val="nextTo"/>
        <c:crossAx val="11554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Processing!$H$1" max="4" min="1" page="10"/>
</file>

<file path=xl/ctrlProps/ctrlProp2.xml><?xml version="1.0" encoding="utf-8"?>
<formControlPr xmlns="http://schemas.microsoft.com/office/spreadsheetml/2009/9/main" objectType="CheckBox" checked="Checked" fmlaLink="Processing!$J$1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448235</xdr:colOff>
      <xdr:row>30</xdr:row>
      <xdr:rowOff>9524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0"/>
          <a:ext cx="8982635" cy="5867399"/>
        </a:xfrm>
        <a:prstGeom prst="rect">
          <a:avLst/>
        </a:prstGeom>
        <a:gradFill flip="none" rotWithShape="1">
          <a:gsLst>
            <a:gs pos="0">
              <a:srgbClr val="CED4D8"/>
            </a:gs>
            <a:gs pos="100000">
              <a:srgbClr val="838B98"/>
            </a:gs>
          </a:gsLst>
          <a:path path="circle">
            <a:fillToRect l="50000" t="50000" r="50000" b="50000"/>
          </a:path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</xdr:col>
      <xdr:colOff>124944</xdr:colOff>
      <xdr:row>5</xdr:row>
      <xdr:rowOff>35696</xdr:rowOff>
    </xdr:from>
    <xdr:to>
      <xdr:col>12</xdr:col>
      <xdr:colOff>94944</xdr:colOff>
      <xdr:row>25</xdr:row>
      <xdr:rowOff>14409</xdr:rowOff>
    </xdr:to>
    <xdr:grpSp>
      <xdr:nvGrpSpPr>
        <xdr:cNvPr id="3" name="Групп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344144" y="1131071"/>
          <a:ext cx="6066000" cy="3788713"/>
          <a:chOff x="976591" y="1122666"/>
          <a:chExt cx="6021117" cy="3788713"/>
        </a:xfrm>
      </xdr:grpSpPr>
      <xdr:sp macro="" textlink="">
        <xdr:nvSpPr>
          <xdr:cNvPr id="98" name="Oval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SpPr/>
        </xdr:nvSpPr>
        <xdr:spPr>
          <a:xfrm>
            <a:off x="5919588" y="3522072"/>
            <a:ext cx="747035" cy="274905"/>
          </a:xfrm>
          <a:prstGeom prst="ellipse">
            <a:avLst/>
          </a:prstGeom>
          <a:solidFill>
            <a:srgbClr val="5FB83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97" name="Oval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SpPr/>
        </xdr:nvSpPr>
        <xdr:spPr>
          <a:xfrm>
            <a:off x="4778829" y="3522072"/>
            <a:ext cx="747035" cy="274905"/>
          </a:xfrm>
          <a:prstGeom prst="ellipse">
            <a:avLst/>
          </a:prstGeom>
          <a:solidFill>
            <a:srgbClr val="31A2B9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/>
        </xdr:nvSpPr>
        <xdr:spPr>
          <a:xfrm>
            <a:off x="3596770" y="3522072"/>
            <a:ext cx="779643" cy="274905"/>
          </a:xfrm>
          <a:prstGeom prst="ellipse">
            <a:avLst/>
          </a:prstGeom>
          <a:solidFill>
            <a:srgbClr val="A62CB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19" name="Oval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2442732" y="3522072"/>
            <a:ext cx="779643" cy="274905"/>
          </a:xfrm>
          <a:prstGeom prst="ellipse">
            <a:avLst/>
          </a:prstGeom>
          <a:solidFill>
            <a:srgbClr val="BB2FB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95" name="Oval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1295249" y="3522072"/>
            <a:ext cx="779643" cy="274905"/>
          </a:xfrm>
          <a:prstGeom prst="ellipse">
            <a:avLst/>
          </a:prstGeom>
          <a:solidFill>
            <a:srgbClr val="C3272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graphicFrame macro="">
        <xdr:nvGraphicFramePr>
          <xdr:cNvPr id="21" name="Chart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GraphicFramePr>
            <a:graphicFrameLocks/>
          </xdr:cNvGraphicFramePr>
        </xdr:nvGraphicFramePr>
        <xdr:xfrm>
          <a:off x="976591" y="1441076"/>
          <a:ext cx="6021117" cy="25907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pSp>
        <xdr:nvGrpSpPr>
          <xdr:cNvPr id="71" name="Group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GrpSpPr/>
        </xdr:nvGrpSpPr>
        <xdr:grpSpPr>
          <a:xfrm>
            <a:off x="5892888" y="1122666"/>
            <a:ext cx="781514" cy="3788713"/>
            <a:chOff x="2306539" y="1266825"/>
            <a:chExt cx="1593802" cy="7655702"/>
          </a:xfrm>
          <a:effectLst>
            <a:outerShdw blurRad="76200" dir="13500000" sy="23000" kx="1200000" algn="br" rotWithShape="0">
              <a:prstClr val="black">
                <a:alpha val="20000"/>
              </a:prstClr>
            </a:outerShdw>
          </a:effectLst>
        </xdr:grpSpPr>
        <xdr:grpSp>
          <xdr:nvGrpSpPr>
            <xdr:cNvPr id="72" name="Group 71">
              <a:extLst>
                <a:ext uri="{FF2B5EF4-FFF2-40B4-BE49-F238E27FC236}">
                  <a16:creationId xmlns:a16="http://schemas.microsoft.com/office/drawing/2014/main" id="{00000000-0008-0000-0000-000048000000}"/>
                </a:ext>
              </a:extLst>
            </xdr:cNvPr>
            <xdr:cNvGrpSpPr/>
          </xdr:nvGrpSpPr>
          <xdr:grpSpPr>
            <a:xfrm>
              <a:off x="2313709" y="1266825"/>
              <a:ext cx="1583459" cy="1396195"/>
              <a:chOff x="3235325" y="515155"/>
              <a:chExt cx="1593850" cy="1396195"/>
            </a:xfrm>
          </xdr:grpSpPr>
          <xdr:sp macro="" textlink="">
            <xdr:nvSpPr>
              <xdr:cNvPr id="77" name="Can 76">
                <a:extLst>
                  <a:ext uri="{FF2B5EF4-FFF2-40B4-BE49-F238E27FC236}">
                    <a16:creationId xmlns:a16="http://schemas.microsoft.com/office/drawing/2014/main" id="{00000000-0008-0000-0000-00004D000000}"/>
                  </a:ext>
                </a:extLst>
              </xdr:cNvPr>
              <xdr:cNvSpPr/>
            </xdr:nvSpPr>
            <xdr:spPr>
              <a:xfrm>
                <a:off x="3235325" y="515155"/>
                <a:ext cx="1593850" cy="1396195"/>
              </a:xfrm>
              <a:prstGeom prst="can">
                <a:avLst>
                  <a:gd name="adj" fmla="val 39545"/>
                </a:avLst>
              </a:prstGeom>
              <a:gradFill>
                <a:gsLst>
                  <a:gs pos="51000">
                    <a:srgbClr val="FFFFFF"/>
                  </a:gs>
                  <a:gs pos="98540">
                    <a:srgbClr val="FDFCFE"/>
                  </a:gs>
                  <a:gs pos="0">
                    <a:srgbClr val="B9BDC0">
                      <a:lumMod val="97000"/>
                    </a:srgbClr>
                  </a:gs>
                </a:gsLst>
                <a:lin ang="0" scaled="0"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en-US"/>
              </a:p>
            </xdr:txBody>
          </xdr:sp>
          <xdr:sp macro="" textlink="">
            <xdr:nvSpPr>
              <xdr:cNvPr id="78" name="Oval 77">
                <a:extLst>
                  <a:ext uri="{FF2B5EF4-FFF2-40B4-BE49-F238E27FC236}">
                    <a16:creationId xmlns:a16="http://schemas.microsoft.com/office/drawing/2014/main" id="{00000000-0008-0000-0000-00004E000000}"/>
                  </a:ext>
                </a:extLst>
              </xdr:cNvPr>
              <xdr:cNvSpPr/>
            </xdr:nvSpPr>
            <xdr:spPr>
              <a:xfrm>
                <a:off x="3235325" y="515155"/>
                <a:ext cx="1584102" cy="553791"/>
              </a:xfrm>
              <a:prstGeom prst="ellipse">
                <a:avLst/>
              </a:prstGeom>
              <a:gradFill flip="none" rotWithShape="1">
                <a:gsLst>
                  <a:gs pos="0">
                    <a:srgbClr val="FDFCFE"/>
                  </a:gs>
                  <a:gs pos="100000">
                    <a:srgbClr val="C7CFD6">
                      <a:alpha val="85000"/>
                    </a:srgbClr>
                  </a:gs>
                </a:gsLst>
                <a:lin ang="0" scaled="0"/>
                <a:tileRect/>
              </a:gradFill>
              <a:ln w="3175">
                <a:solidFill>
                  <a:schemeClr val="bg1">
                    <a:lumMod val="9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en-US"/>
              </a:p>
            </xdr:txBody>
          </xdr:sp>
        </xdr:grpSp>
        <xdr:sp macro="" textlink="">
          <xdr:nvSpPr>
            <xdr:cNvPr id="73" name="Freeform 72">
              <a:extLst>
                <a:ext uri="{FF2B5EF4-FFF2-40B4-BE49-F238E27FC236}">
                  <a16:creationId xmlns:a16="http://schemas.microsoft.com/office/drawing/2014/main" id="{00000000-0008-0000-0000-000049000000}"/>
                </a:ext>
              </a:extLst>
            </xdr:cNvPr>
            <xdr:cNvSpPr/>
          </xdr:nvSpPr>
          <xdr:spPr>
            <a:xfrm rot="16200000">
              <a:off x="1845370" y="6883932"/>
              <a:ext cx="2503483" cy="1573708"/>
            </a:xfrm>
            <a:custGeom>
              <a:avLst/>
              <a:gdLst>
                <a:gd name="connsiteX0" fmla="*/ 2503483 w 2503483"/>
                <a:gd name="connsiteY0" fmla="*/ 0 h 1584100"/>
                <a:gd name="connsiteX1" fmla="*/ 2266369 w 2503483"/>
                <a:gd name="connsiteY1" fmla="*/ 792050 h 1584100"/>
                <a:gd name="connsiteX2" fmla="*/ 2503483 w 2503483"/>
                <a:gd name="connsiteY2" fmla="*/ 1584100 h 1584100"/>
                <a:gd name="connsiteX3" fmla="*/ 1422400 w 2503483"/>
                <a:gd name="connsiteY3" fmla="*/ 1584100 h 1584100"/>
                <a:gd name="connsiteX4" fmla="*/ 1318197 w 2503483"/>
                <a:gd name="connsiteY4" fmla="*/ 1584100 h 1584100"/>
                <a:gd name="connsiteX5" fmla="*/ 237114 w 2503483"/>
                <a:gd name="connsiteY5" fmla="*/ 1584100 h 1584100"/>
                <a:gd name="connsiteX6" fmla="*/ 0 w 2503483"/>
                <a:gd name="connsiteY6" fmla="*/ 792050 h 1584100"/>
                <a:gd name="connsiteX7" fmla="*/ 237114 w 2503483"/>
                <a:gd name="connsiteY7" fmla="*/ 0 h 1584100"/>
                <a:gd name="connsiteX8" fmla="*/ 1318197 w 2503483"/>
                <a:gd name="connsiteY8" fmla="*/ 0 h 1584100"/>
                <a:gd name="connsiteX9" fmla="*/ 1422400 w 2503483"/>
                <a:gd name="connsiteY9" fmla="*/ 0 h 1584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2503483" h="1584100">
                  <a:moveTo>
                    <a:pt x="2503483" y="0"/>
                  </a:moveTo>
                  <a:cubicBezTo>
                    <a:pt x="2372480" y="0"/>
                    <a:pt x="2266369" y="354680"/>
                    <a:pt x="2266369" y="792050"/>
                  </a:cubicBezTo>
                  <a:cubicBezTo>
                    <a:pt x="2266369" y="1229420"/>
                    <a:pt x="2372480" y="1584100"/>
                    <a:pt x="2503483" y="1584100"/>
                  </a:cubicBezTo>
                  <a:lnTo>
                    <a:pt x="1422400" y="1584100"/>
                  </a:lnTo>
                  <a:lnTo>
                    <a:pt x="1318197" y="1584100"/>
                  </a:lnTo>
                  <a:lnTo>
                    <a:pt x="237114" y="1584100"/>
                  </a:lnTo>
                  <a:cubicBezTo>
                    <a:pt x="106111" y="1584100"/>
                    <a:pt x="0" y="1229420"/>
                    <a:pt x="0" y="792050"/>
                  </a:cubicBezTo>
                  <a:cubicBezTo>
                    <a:pt x="0" y="354680"/>
                    <a:pt x="106111" y="0"/>
                    <a:pt x="237114" y="0"/>
                  </a:cubicBezTo>
                  <a:lnTo>
                    <a:pt x="1318197" y="0"/>
                  </a:lnTo>
                  <a:lnTo>
                    <a:pt x="1422400" y="0"/>
                  </a:lnTo>
                  <a:close/>
                </a:path>
              </a:pathLst>
            </a:custGeom>
            <a:gradFill>
              <a:gsLst>
                <a:gs pos="51000">
                  <a:srgbClr val="FFFFFF"/>
                </a:gs>
                <a:gs pos="98540">
                  <a:srgbClr val="FDFCFE"/>
                </a:gs>
                <a:gs pos="0">
                  <a:srgbClr val="B9BDC0">
                    <a:lumMod val="97000"/>
                  </a:srgbClr>
                </a:gs>
              </a:gsLst>
              <a:lin ang="5400000" scaled="0"/>
            </a:gra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4" name="Freeform 73">
              <a:extLst>
                <a:ext uri="{FF2B5EF4-FFF2-40B4-BE49-F238E27FC236}">
                  <a16:creationId xmlns:a16="http://schemas.microsoft.com/office/drawing/2014/main" id="{00000000-0008-0000-0000-00004A000000}"/>
                </a:ext>
              </a:extLst>
            </xdr:cNvPr>
            <xdr:cNvSpPr/>
          </xdr:nvSpPr>
          <xdr:spPr>
            <a:xfrm rot="16200000">
              <a:off x="2566581" y="7386930"/>
              <a:ext cx="1064961" cy="1585045"/>
            </a:xfrm>
            <a:custGeom>
              <a:avLst/>
              <a:gdLst>
                <a:gd name="connsiteX0" fmla="*/ 1064961 w 1064961"/>
                <a:gd name="connsiteY0" fmla="*/ 0 h 1595437"/>
                <a:gd name="connsiteX1" fmla="*/ 852325 w 1064961"/>
                <a:gd name="connsiteY1" fmla="*/ 797719 h 1595437"/>
                <a:gd name="connsiteX2" fmla="*/ 1064961 w 1064961"/>
                <a:gd name="connsiteY2" fmla="*/ 1595437 h 1595437"/>
                <a:gd name="connsiteX3" fmla="*/ 212636 w 1064961"/>
                <a:gd name="connsiteY3" fmla="*/ 1595437 h 1595437"/>
                <a:gd name="connsiteX4" fmla="*/ 0 w 1064961"/>
                <a:gd name="connsiteY4" fmla="*/ 797719 h 1595437"/>
                <a:gd name="connsiteX5" fmla="*/ 212636 w 1064961"/>
                <a:gd name="connsiteY5" fmla="*/ 0 h 1595437"/>
                <a:gd name="connsiteX6" fmla="*/ 1064961 w 1064961"/>
                <a:gd name="connsiteY6" fmla="*/ 0 h 159543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1064961" h="1595437">
                  <a:moveTo>
                    <a:pt x="1064961" y="0"/>
                  </a:moveTo>
                  <a:cubicBezTo>
                    <a:pt x="947482" y="0"/>
                    <a:pt x="852325" y="357219"/>
                    <a:pt x="852325" y="797719"/>
                  </a:cubicBezTo>
                  <a:cubicBezTo>
                    <a:pt x="852325" y="1238219"/>
                    <a:pt x="947482" y="1595437"/>
                    <a:pt x="1064961" y="1595437"/>
                  </a:cubicBezTo>
                  <a:lnTo>
                    <a:pt x="212636" y="1595437"/>
                  </a:lnTo>
                  <a:cubicBezTo>
                    <a:pt x="95157" y="1595437"/>
                    <a:pt x="0" y="1238219"/>
                    <a:pt x="0" y="797719"/>
                  </a:cubicBezTo>
                  <a:cubicBezTo>
                    <a:pt x="0" y="357219"/>
                    <a:pt x="95157" y="0"/>
                    <a:pt x="212636" y="0"/>
                  </a:cubicBezTo>
                  <a:lnTo>
                    <a:pt x="1064961" y="0"/>
                  </a:lnTo>
                  <a:close/>
                </a:path>
              </a:pathLst>
            </a:custGeom>
            <a:gradFill>
              <a:gsLst>
                <a:gs pos="51000">
                  <a:srgbClr val="FDFDFD"/>
                </a:gs>
                <a:gs pos="98540">
                  <a:srgbClr val="EAEBF0"/>
                </a:gs>
                <a:gs pos="0">
                  <a:srgbClr val="A8ACB0"/>
                </a:gs>
              </a:gsLst>
              <a:lin ang="5400000" scaled="0"/>
            </a:gra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5" name="Oval 74">
              <a:extLst>
                <a:ext uri="{FF2B5EF4-FFF2-40B4-BE49-F238E27FC236}">
                  <a16:creationId xmlns:a16="http://schemas.microsoft.com/office/drawing/2014/main" id="{00000000-0008-0000-0000-00004B000000}"/>
                </a:ext>
              </a:extLst>
            </xdr:cNvPr>
            <xdr:cNvSpPr/>
          </xdr:nvSpPr>
          <xdr:spPr>
            <a:xfrm>
              <a:off x="2967470" y="8173100"/>
              <a:ext cx="256887" cy="259200"/>
            </a:xfrm>
            <a:prstGeom prst="ellipse">
              <a:avLst/>
            </a:prstGeom>
            <a:solidFill>
              <a:srgbClr val="5FB832"/>
            </a:solidFill>
            <a:ln>
              <a:noFill/>
            </a:ln>
            <a:scene3d>
              <a:camera prst="orthographicFront"/>
              <a:lightRig rig="threePt" dir="t"/>
            </a:scene3d>
            <a:sp3d>
              <a:bevelT w="127000" h="635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6" name="Freeform 75">
              <a:extLst>
                <a:ext uri="{FF2B5EF4-FFF2-40B4-BE49-F238E27FC236}">
                  <a16:creationId xmlns:a16="http://schemas.microsoft.com/office/drawing/2014/main" id="{00000000-0008-0000-0000-00004C000000}"/>
                </a:ext>
              </a:extLst>
            </xdr:cNvPr>
            <xdr:cNvSpPr/>
          </xdr:nvSpPr>
          <xdr:spPr>
            <a:xfrm rot="16200000">
              <a:off x="974184" y="3742630"/>
              <a:ext cx="4266686" cy="1585629"/>
            </a:xfrm>
            <a:custGeom>
              <a:avLst/>
              <a:gdLst>
                <a:gd name="connsiteX0" fmla="*/ 4266687 w 4266687"/>
                <a:gd name="connsiteY0" fmla="*/ 0 h 1590131"/>
                <a:gd name="connsiteX1" fmla="*/ 4029573 w 4266687"/>
                <a:gd name="connsiteY1" fmla="*/ 794488 h 1590131"/>
                <a:gd name="connsiteX2" fmla="*/ 4266687 w 4266687"/>
                <a:gd name="connsiteY2" fmla="*/ 1588976 h 1590131"/>
                <a:gd name="connsiteX3" fmla="*/ 3185604 w 4266687"/>
                <a:gd name="connsiteY3" fmla="*/ 1588976 h 1590131"/>
                <a:gd name="connsiteX4" fmla="*/ 3081401 w 4266687"/>
                <a:gd name="connsiteY4" fmla="*/ 1588976 h 1590131"/>
                <a:gd name="connsiteX5" fmla="*/ 2496656 w 4266687"/>
                <a:gd name="connsiteY5" fmla="*/ 1588976 h 1590131"/>
                <a:gd name="connsiteX6" fmla="*/ 2503483 w 4266687"/>
                <a:gd name="connsiteY6" fmla="*/ 1590131 h 1590131"/>
                <a:gd name="connsiteX7" fmla="*/ 1422400 w 4266687"/>
                <a:gd name="connsiteY7" fmla="*/ 1590131 h 1590131"/>
                <a:gd name="connsiteX8" fmla="*/ 1318197 w 4266687"/>
                <a:gd name="connsiteY8" fmla="*/ 1590131 h 1590131"/>
                <a:gd name="connsiteX9" fmla="*/ 237114 w 4266687"/>
                <a:gd name="connsiteY9" fmla="*/ 1590131 h 1590131"/>
                <a:gd name="connsiteX10" fmla="*/ 0 w 4266687"/>
                <a:gd name="connsiteY10" fmla="*/ 795643 h 1590131"/>
                <a:gd name="connsiteX11" fmla="*/ 237114 w 4266687"/>
                <a:gd name="connsiteY11" fmla="*/ 1155 h 1590131"/>
                <a:gd name="connsiteX12" fmla="*/ 1318197 w 4266687"/>
                <a:gd name="connsiteY12" fmla="*/ 1155 h 1590131"/>
                <a:gd name="connsiteX13" fmla="*/ 1422400 w 4266687"/>
                <a:gd name="connsiteY13" fmla="*/ 1155 h 1590131"/>
                <a:gd name="connsiteX14" fmla="*/ 1993491 w 4266687"/>
                <a:gd name="connsiteY14" fmla="*/ 1155 h 1590131"/>
                <a:gd name="connsiteX15" fmla="*/ 2000318 w 4266687"/>
                <a:gd name="connsiteY15" fmla="*/ 0 h 1590131"/>
                <a:gd name="connsiteX16" fmla="*/ 3081401 w 4266687"/>
                <a:gd name="connsiteY16" fmla="*/ 0 h 1590131"/>
                <a:gd name="connsiteX17" fmla="*/ 3185604 w 4266687"/>
                <a:gd name="connsiteY17" fmla="*/ 0 h 159013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</a:cxnLst>
              <a:rect l="l" t="t" r="r" b="b"/>
              <a:pathLst>
                <a:path w="4266687" h="1590131">
                  <a:moveTo>
                    <a:pt x="4266687" y="0"/>
                  </a:moveTo>
                  <a:cubicBezTo>
                    <a:pt x="4135684" y="0"/>
                    <a:pt x="4029573" y="355772"/>
                    <a:pt x="4029573" y="794488"/>
                  </a:cubicBezTo>
                  <a:cubicBezTo>
                    <a:pt x="4029573" y="1233205"/>
                    <a:pt x="4135684" y="1588976"/>
                    <a:pt x="4266687" y="1588976"/>
                  </a:cubicBezTo>
                  <a:lnTo>
                    <a:pt x="3185604" y="1588976"/>
                  </a:lnTo>
                  <a:lnTo>
                    <a:pt x="3081401" y="1588976"/>
                  </a:lnTo>
                  <a:lnTo>
                    <a:pt x="2496656" y="1588976"/>
                  </a:lnTo>
                  <a:lnTo>
                    <a:pt x="2503483" y="1590131"/>
                  </a:lnTo>
                  <a:lnTo>
                    <a:pt x="1422400" y="1590131"/>
                  </a:lnTo>
                  <a:lnTo>
                    <a:pt x="1318197" y="1590131"/>
                  </a:lnTo>
                  <a:lnTo>
                    <a:pt x="237114" y="1590131"/>
                  </a:lnTo>
                  <a:cubicBezTo>
                    <a:pt x="106111" y="1590131"/>
                    <a:pt x="0" y="1234360"/>
                    <a:pt x="0" y="795643"/>
                  </a:cubicBezTo>
                  <a:cubicBezTo>
                    <a:pt x="0" y="356927"/>
                    <a:pt x="106111" y="1155"/>
                    <a:pt x="237114" y="1155"/>
                  </a:cubicBezTo>
                  <a:lnTo>
                    <a:pt x="1318197" y="1155"/>
                  </a:lnTo>
                  <a:lnTo>
                    <a:pt x="1422400" y="1155"/>
                  </a:lnTo>
                  <a:lnTo>
                    <a:pt x="1993491" y="1155"/>
                  </a:lnTo>
                  <a:lnTo>
                    <a:pt x="2000318" y="0"/>
                  </a:lnTo>
                  <a:lnTo>
                    <a:pt x="3081401" y="0"/>
                  </a:lnTo>
                  <a:lnTo>
                    <a:pt x="3185604" y="0"/>
                  </a:lnTo>
                  <a:close/>
                </a:path>
              </a:pathLst>
            </a:custGeom>
            <a:gradFill>
              <a:gsLst>
                <a:gs pos="7000">
                  <a:srgbClr val="C4C8CB">
                    <a:alpha val="0"/>
                    <a:lumMod val="70000"/>
                    <a:lumOff val="30000"/>
                  </a:srgbClr>
                </a:gs>
                <a:gs pos="26000">
                  <a:schemeClr val="bg1">
                    <a:alpha val="25000"/>
                  </a:schemeClr>
                </a:gs>
                <a:gs pos="24000">
                  <a:srgbClr val="FFFFFF">
                    <a:alpha val="0"/>
                  </a:srgbClr>
                </a:gs>
                <a:gs pos="93000">
                  <a:srgbClr val="F8F8F9">
                    <a:alpha val="0"/>
                  </a:srgbClr>
                </a:gs>
                <a:gs pos="100000">
                  <a:srgbClr val="969696"/>
                </a:gs>
                <a:gs pos="0">
                  <a:schemeClr val="bg1">
                    <a:lumMod val="59000"/>
                  </a:schemeClr>
                </a:gs>
              </a:gsLst>
              <a:lin ang="5400000" scaled="0"/>
            </a:gra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</xdr:grpSp>
      <xdr:grpSp>
        <xdr:nvGrpSpPr>
          <xdr:cNvPr id="79" name="Group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GrpSpPr/>
        </xdr:nvGrpSpPr>
        <xdr:grpSpPr>
          <a:xfrm>
            <a:off x="4746772" y="1122666"/>
            <a:ext cx="780159" cy="3788713"/>
            <a:chOff x="2313709" y="1266825"/>
            <a:chExt cx="1591080" cy="7655701"/>
          </a:xfrm>
          <a:effectLst>
            <a:outerShdw blurRad="76200" dir="13500000" sy="23000" kx="1200000" algn="br" rotWithShape="0">
              <a:prstClr val="black">
                <a:alpha val="20000"/>
              </a:prstClr>
            </a:outerShdw>
          </a:effectLst>
        </xdr:grpSpPr>
        <xdr:grpSp>
          <xdr:nvGrpSpPr>
            <xdr:cNvPr id="80" name="Group 79">
              <a:extLst>
                <a:ext uri="{FF2B5EF4-FFF2-40B4-BE49-F238E27FC236}">
                  <a16:creationId xmlns:a16="http://schemas.microsoft.com/office/drawing/2014/main" id="{00000000-0008-0000-0000-000050000000}"/>
                </a:ext>
              </a:extLst>
            </xdr:cNvPr>
            <xdr:cNvGrpSpPr/>
          </xdr:nvGrpSpPr>
          <xdr:grpSpPr>
            <a:xfrm>
              <a:off x="2313709" y="1266825"/>
              <a:ext cx="1583459" cy="1396195"/>
              <a:chOff x="3235325" y="515155"/>
              <a:chExt cx="1593850" cy="1396195"/>
            </a:xfrm>
          </xdr:grpSpPr>
          <xdr:sp macro="" textlink="">
            <xdr:nvSpPr>
              <xdr:cNvPr id="85" name="Can 84">
                <a:extLst>
                  <a:ext uri="{FF2B5EF4-FFF2-40B4-BE49-F238E27FC236}">
                    <a16:creationId xmlns:a16="http://schemas.microsoft.com/office/drawing/2014/main" id="{00000000-0008-0000-0000-000055000000}"/>
                  </a:ext>
                </a:extLst>
              </xdr:cNvPr>
              <xdr:cNvSpPr/>
            </xdr:nvSpPr>
            <xdr:spPr>
              <a:xfrm>
                <a:off x="3235325" y="515155"/>
                <a:ext cx="1593850" cy="1396195"/>
              </a:xfrm>
              <a:prstGeom prst="can">
                <a:avLst>
                  <a:gd name="adj" fmla="val 39545"/>
                </a:avLst>
              </a:prstGeom>
              <a:gradFill>
                <a:gsLst>
                  <a:gs pos="51000">
                    <a:srgbClr val="FFFFFF"/>
                  </a:gs>
                  <a:gs pos="98540">
                    <a:srgbClr val="FDFCFE"/>
                  </a:gs>
                  <a:gs pos="0">
                    <a:srgbClr val="B9BDC0">
                      <a:lumMod val="97000"/>
                    </a:srgbClr>
                  </a:gs>
                </a:gsLst>
                <a:lin ang="0" scaled="0"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en-US"/>
              </a:p>
            </xdr:txBody>
          </xdr:sp>
          <xdr:sp macro="" textlink="">
            <xdr:nvSpPr>
              <xdr:cNvPr id="86" name="Oval 85">
                <a:extLst>
                  <a:ext uri="{FF2B5EF4-FFF2-40B4-BE49-F238E27FC236}">
                    <a16:creationId xmlns:a16="http://schemas.microsoft.com/office/drawing/2014/main" id="{00000000-0008-0000-0000-000056000000}"/>
                  </a:ext>
                </a:extLst>
              </xdr:cNvPr>
              <xdr:cNvSpPr/>
            </xdr:nvSpPr>
            <xdr:spPr>
              <a:xfrm>
                <a:off x="3235325" y="515155"/>
                <a:ext cx="1584102" cy="553791"/>
              </a:xfrm>
              <a:prstGeom prst="ellipse">
                <a:avLst/>
              </a:prstGeom>
              <a:gradFill flip="none" rotWithShape="1">
                <a:gsLst>
                  <a:gs pos="0">
                    <a:srgbClr val="FDFCFE"/>
                  </a:gs>
                  <a:gs pos="100000">
                    <a:srgbClr val="C7CFD6">
                      <a:alpha val="85000"/>
                    </a:srgbClr>
                  </a:gs>
                </a:gsLst>
                <a:lin ang="0" scaled="0"/>
                <a:tileRect/>
              </a:gradFill>
              <a:ln w="3175">
                <a:solidFill>
                  <a:schemeClr val="bg1">
                    <a:lumMod val="9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en-US"/>
              </a:p>
            </xdr:txBody>
          </xdr:sp>
        </xdr:grpSp>
        <xdr:sp macro="" textlink="">
          <xdr:nvSpPr>
            <xdr:cNvPr id="81" name="Freeform 80">
              <a:extLst>
                <a:ext uri="{FF2B5EF4-FFF2-40B4-BE49-F238E27FC236}">
                  <a16:creationId xmlns:a16="http://schemas.microsoft.com/office/drawing/2014/main" id="{00000000-0008-0000-0000-000051000000}"/>
                </a:ext>
              </a:extLst>
            </xdr:cNvPr>
            <xdr:cNvSpPr/>
          </xdr:nvSpPr>
          <xdr:spPr>
            <a:xfrm rot="16200000">
              <a:off x="1858573" y="6883930"/>
              <a:ext cx="2503483" cy="1573709"/>
            </a:xfrm>
            <a:custGeom>
              <a:avLst/>
              <a:gdLst>
                <a:gd name="connsiteX0" fmla="*/ 2503483 w 2503483"/>
                <a:gd name="connsiteY0" fmla="*/ 0 h 1584100"/>
                <a:gd name="connsiteX1" fmla="*/ 2266369 w 2503483"/>
                <a:gd name="connsiteY1" fmla="*/ 792050 h 1584100"/>
                <a:gd name="connsiteX2" fmla="*/ 2503483 w 2503483"/>
                <a:gd name="connsiteY2" fmla="*/ 1584100 h 1584100"/>
                <a:gd name="connsiteX3" fmla="*/ 1422400 w 2503483"/>
                <a:gd name="connsiteY3" fmla="*/ 1584100 h 1584100"/>
                <a:gd name="connsiteX4" fmla="*/ 1318197 w 2503483"/>
                <a:gd name="connsiteY4" fmla="*/ 1584100 h 1584100"/>
                <a:gd name="connsiteX5" fmla="*/ 237114 w 2503483"/>
                <a:gd name="connsiteY5" fmla="*/ 1584100 h 1584100"/>
                <a:gd name="connsiteX6" fmla="*/ 0 w 2503483"/>
                <a:gd name="connsiteY6" fmla="*/ 792050 h 1584100"/>
                <a:gd name="connsiteX7" fmla="*/ 237114 w 2503483"/>
                <a:gd name="connsiteY7" fmla="*/ 0 h 1584100"/>
                <a:gd name="connsiteX8" fmla="*/ 1318197 w 2503483"/>
                <a:gd name="connsiteY8" fmla="*/ 0 h 1584100"/>
                <a:gd name="connsiteX9" fmla="*/ 1422400 w 2503483"/>
                <a:gd name="connsiteY9" fmla="*/ 0 h 1584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2503483" h="1584100">
                  <a:moveTo>
                    <a:pt x="2503483" y="0"/>
                  </a:moveTo>
                  <a:cubicBezTo>
                    <a:pt x="2372480" y="0"/>
                    <a:pt x="2266369" y="354680"/>
                    <a:pt x="2266369" y="792050"/>
                  </a:cubicBezTo>
                  <a:cubicBezTo>
                    <a:pt x="2266369" y="1229420"/>
                    <a:pt x="2372480" y="1584100"/>
                    <a:pt x="2503483" y="1584100"/>
                  </a:cubicBezTo>
                  <a:lnTo>
                    <a:pt x="1422400" y="1584100"/>
                  </a:lnTo>
                  <a:lnTo>
                    <a:pt x="1318197" y="1584100"/>
                  </a:lnTo>
                  <a:lnTo>
                    <a:pt x="237114" y="1584100"/>
                  </a:lnTo>
                  <a:cubicBezTo>
                    <a:pt x="106111" y="1584100"/>
                    <a:pt x="0" y="1229420"/>
                    <a:pt x="0" y="792050"/>
                  </a:cubicBezTo>
                  <a:cubicBezTo>
                    <a:pt x="0" y="354680"/>
                    <a:pt x="106111" y="0"/>
                    <a:pt x="237114" y="0"/>
                  </a:cubicBezTo>
                  <a:lnTo>
                    <a:pt x="1318197" y="0"/>
                  </a:lnTo>
                  <a:lnTo>
                    <a:pt x="1422400" y="0"/>
                  </a:lnTo>
                  <a:close/>
                </a:path>
              </a:pathLst>
            </a:custGeom>
            <a:gradFill>
              <a:gsLst>
                <a:gs pos="51000">
                  <a:srgbClr val="FFFFFF"/>
                </a:gs>
                <a:gs pos="98540">
                  <a:srgbClr val="FDFCFE"/>
                </a:gs>
                <a:gs pos="0">
                  <a:srgbClr val="B9BDC0">
                    <a:lumMod val="97000"/>
                  </a:srgbClr>
                </a:gs>
              </a:gsLst>
              <a:lin ang="5400000" scaled="0"/>
            </a:gra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82" name="Freeform 81">
              <a:extLst>
                <a:ext uri="{FF2B5EF4-FFF2-40B4-BE49-F238E27FC236}">
                  <a16:creationId xmlns:a16="http://schemas.microsoft.com/office/drawing/2014/main" id="{00000000-0008-0000-0000-000052000000}"/>
                </a:ext>
              </a:extLst>
            </xdr:cNvPr>
            <xdr:cNvSpPr/>
          </xdr:nvSpPr>
          <xdr:spPr>
            <a:xfrm rot="16200000">
              <a:off x="2579785" y="7386928"/>
              <a:ext cx="1064961" cy="1585046"/>
            </a:xfrm>
            <a:custGeom>
              <a:avLst/>
              <a:gdLst>
                <a:gd name="connsiteX0" fmla="*/ 1064961 w 1064961"/>
                <a:gd name="connsiteY0" fmla="*/ 0 h 1595437"/>
                <a:gd name="connsiteX1" fmla="*/ 852325 w 1064961"/>
                <a:gd name="connsiteY1" fmla="*/ 797719 h 1595437"/>
                <a:gd name="connsiteX2" fmla="*/ 1064961 w 1064961"/>
                <a:gd name="connsiteY2" fmla="*/ 1595437 h 1595437"/>
                <a:gd name="connsiteX3" fmla="*/ 212636 w 1064961"/>
                <a:gd name="connsiteY3" fmla="*/ 1595437 h 1595437"/>
                <a:gd name="connsiteX4" fmla="*/ 0 w 1064961"/>
                <a:gd name="connsiteY4" fmla="*/ 797719 h 1595437"/>
                <a:gd name="connsiteX5" fmla="*/ 212636 w 1064961"/>
                <a:gd name="connsiteY5" fmla="*/ 0 h 1595437"/>
                <a:gd name="connsiteX6" fmla="*/ 1064961 w 1064961"/>
                <a:gd name="connsiteY6" fmla="*/ 0 h 159543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1064961" h="1595437">
                  <a:moveTo>
                    <a:pt x="1064961" y="0"/>
                  </a:moveTo>
                  <a:cubicBezTo>
                    <a:pt x="947482" y="0"/>
                    <a:pt x="852325" y="357219"/>
                    <a:pt x="852325" y="797719"/>
                  </a:cubicBezTo>
                  <a:cubicBezTo>
                    <a:pt x="852325" y="1238219"/>
                    <a:pt x="947482" y="1595437"/>
                    <a:pt x="1064961" y="1595437"/>
                  </a:cubicBezTo>
                  <a:lnTo>
                    <a:pt x="212636" y="1595437"/>
                  </a:lnTo>
                  <a:cubicBezTo>
                    <a:pt x="95157" y="1595437"/>
                    <a:pt x="0" y="1238219"/>
                    <a:pt x="0" y="797719"/>
                  </a:cubicBezTo>
                  <a:cubicBezTo>
                    <a:pt x="0" y="357219"/>
                    <a:pt x="95157" y="0"/>
                    <a:pt x="212636" y="0"/>
                  </a:cubicBezTo>
                  <a:lnTo>
                    <a:pt x="1064961" y="0"/>
                  </a:lnTo>
                  <a:close/>
                </a:path>
              </a:pathLst>
            </a:custGeom>
            <a:gradFill>
              <a:gsLst>
                <a:gs pos="51000">
                  <a:srgbClr val="FDFDFD"/>
                </a:gs>
                <a:gs pos="98540">
                  <a:srgbClr val="EAEBF0"/>
                </a:gs>
                <a:gs pos="0">
                  <a:srgbClr val="A8ACB0"/>
                </a:gs>
              </a:gsLst>
              <a:lin ang="5400000" scaled="0"/>
            </a:gra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83" name="Oval 82">
              <a:extLst>
                <a:ext uri="{FF2B5EF4-FFF2-40B4-BE49-F238E27FC236}">
                  <a16:creationId xmlns:a16="http://schemas.microsoft.com/office/drawing/2014/main" id="{00000000-0008-0000-0000-000053000000}"/>
                </a:ext>
              </a:extLst>
            </xdr:cNvPr>
            <xdr:cNvSpPr/>
          </xdr:nvSpPr>
          <xdr:spPr>
            <a:xfrm>
              <a:off x="2967470" y="8173100"/>
              <a:ext cx="256887" cy="259200"/>
            </a:xfrm>
            <a:prstGeom prst="ellipse">
              <a:avLst/>
            </a:prstGeom>
            <a:solidFill>
              <a:srgbClr val="31A2B9"/>
            </a:solidFill>
            <a:ln>
              <a:noFill/>
            </a:ln>
            <a:scene3d>
              <a:camera prst="orthographicFront"/>
              <a:lightRig rig="threePt" dir="t"/>
            </a:scene3d>
            <a:sp3d>
              <a:bevelT w="127000" h="635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84" name="Freeform 83">
              <a:extLst>
                <a:ext uri="{FF2B5EF4-FFF2-40B4-BE49-F238E27FC236}">
                  <a16:creationId xmlns:a16="http://schemas.microsoft.com/office/drawing/2014/main" id="{00000000-0008-0000-0000-000054000000}"/>
                </a:ext>
              </a:extLst>
            </xdr:cNvPr>
            <xdr:cNvSpPr/>
          </xdr:nvSpPr>
          <xdr:spPr>
            <a:xfrm rot="16200000">
              <a:off x="974184" y="3742631"/>
              <a:ext cx="4266686" cy="1585628"/>
            </a:xfrm>
            <a:custGeom>
              <a:avLst/>
              <a:gdLst>
                <a:gd name="connsiteX0" fmla="*/ 4266687 w 4266687"/>
                <a:gd name="connsiteY0" fmla="*/ 0 h 1590131"/>
                <a:gd name="connsiteX1" fmla="*/ 4029573 w 4266687"/>
                <a:gd name="connsiteY1" fmla="*/ 794488 h 1590131"/>
                <a:gd name="connsiteX2" fmla="*/ 4266687 w 4266687"/>
                <a:gd name="connsiteY2" fmla="*/ 1588976 h 1590131"/>
                <a:gd name="connsiteX3" fmla="*/ 3185604 w 4266687"/>
                <a:gd name="connsiteY3" fmla="*/ 1588976 h 1590131"/>
                <a:gd name="connsiteX4" fmla="*/ 3081401 w 4266687"/>
                <a:gd name="connsiteY4" fmla="*/ 1588976 h 1590131"/>
                <a:gd name="connsiteX5" fmla="*/ 2496656 w 4266687"/>
                <a:gd name="connsiteY5" fmla="*/ 1588976 h 1590131"/>
                <a:gd name="connsiteX6" fmla="*/ 2503483 w 4266687"/>
                <a:gd name="connsiteY6" fmla="*/ 1590131 h 1590131"/>
                <a:gd name="connsiteX7" fmla="*/ 1422400 w 4266687"/>
                <a:gd name="connsiteY7" fmla="*/ 1590131 h 1590131"/>
                <a:gd name="connsiteX8" fmla="*/ 1318197 w 4266687"/>
                <a:gd name="connsiteY8" fmla="*/ 1590131 h 1590131"/>
                <a:gd name="connsiteX9" fmla="*/ 237114 w 4266687"/>
                <a:gd name="connsiteY9" fmla="*/ 1590131 h 1590131"/>
                <a:gd name="connsiteX10" fmla="*/ 0 w 4266687"/>
                <a:gd name="connsiteY10" fmla="*/ 795643 h 1590131"/>
                <a:gd name="connsiteX11" fmla="*/ 237114 w 4266687"/>
                <a:gd name="connsiteY11" fmla="*/ 1155 h 1590131"/>
                <a:gd name="connsiteX12" fmla="*/ 1318197 w 4266687"/>
                <a:gd name="connsiteY12" fmla="*/ 1155 h 1590131"/>
                <a:gd name="connsiteX13" fmla="*/ 1422400 w 4266687"/>
                <a:gd name="connsiteY13" fmla="*/ 1155 h 1590131"/>
                <a:gd name="connsiteX14" fmla="*/ 1993491 w 4266687"/>
                <a:gd name="connsiteY14" fmla="*/ 1155 h 1590131"/>
                <a:gd name="connsiteX15" fmla="*/ 2000318 w 4266687"/>
                <a:gd name="connsiteY15" fmla="*/ 0 h 1590131"/>
                <a:gd name="connsiteX16" fmla="*/ 3081401 w 4266687"/>
                <a:gd name="connsiteY16" fmla="*/ 0 h 1590131"/>
                <a:gd name="connsiteX17" fmla="*/ 3185604 w 4266687"/>
                <a:gd name="connsiteY17" fmla="*/ 0 h 159013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</a:cxnLst>
              <a:rect l="l" t="t" r="r" b="b"/>
              <a:pathLst>
                <a:path w="4266687" h="1590131">
                  <a:moveTo>
                    <a:pt x="4266687" y="0"/>
                  </a:moveTo>
                  <a:cubicBezTo>
                    <a:pt x="4135684" y="0"/>
                    <a:pt x="4029573" y="355772"/>
                    <a:pt x="4029573" y="794488"/>
                  </a:cubicBezTo>
                  <a:cubicBezTo>
                    <a:pt x="4029573" y="1233205"/>
                    <a:pt x="4135684" y="1588976"/>
                    <a:pt x="4266687" y="1588976"/>
                  </a:cubicBezTo>
                  <a:lnTo>
                    <a:pt x="3185604" y="1588976"/>
                  </a:lnTo>
                  <a:lnTo>
                    <a:pt x="3081401" y="1588976"/>
                  </a:lnTo>
                  <a:lnTo>
                    <a:pt x="2496656" y="1588976"/>
                  </a:lnTo>
                  <a:lnTo>
                    <a:pt x="2503483" y="1590131"/>
                  </a:lnTo>
                  <a:lnTo>
                    <a:pt x="1422400" y="1590131"/>
                  </a:lnTo>
                  <a:lnTo>
                    <a:pt x="1318197" y="1590131"/>
                  </a:lnTo>
                  <a:lnTo>
                    <a:pt x="237114" y="1590131"/>
                  </a:lnTo>
                  <a:cubicBezTo>
                    <a:pt x="106111" y="1590131"/>
                    <a:pt x="0" y="1234360"/>
                    <a:pt x="0" y="795643"/>
                  </a:cubicBezTo>
                  <a:cubicBezTo>
                    <a:pt x="0" y="356927"/>
                    <a:pt x="106111" y="1155"/>
                    <a:pt x="237114" y="1155"/>
                  </a:cubicBezTo>
                  <a:lnTo>
                    <a:pt x="1318197" y="1155"/>
                  </a:lnTo>
                  <a:lnTo>
                    <a:pt x="1422400" y="1155"/>
                  </a:lnTo>
                  <a:lnTo>
                    <a:pt x="1993491" y="1155"/>
                  </a:lnTo>
                  <a:lnTo>
                    <a:pt x="2000318" y="0"/>
                  </a:lnTo>
                  <a:lnTo>
                    <a:pt x="3081401" y="0"/>
                  </a:lnTo>
                  <a:lnTo>
                    <a:pt x="3185604" y="0"/>
                  </a:lnTo>
                  <a:close/>
                </a:path>
              </a:pathLst>
            </a:custGeom>
            <a:gradFill>
              <a:gsLst>
                <a:gs pos="7000">
                  <a:srgbClr val="C4C8CB">
                    <a:alpha val="0"/>
                    <a:lumMod val="70000"/>
                    <a:lumOff val="30000"/>
                  </a:srgbClr>
                </a:gs>
                <a:gs pos="26000">
                  <a:schemeClr val="bg1">
                    <a:alpha val="25000"/>
                  </a:schemeClr>
                </a:gs>
                <a:gs pos="24000">
                  <a:srgbClr val="FFFFFF">
                    <a:alpha val="0"/>
                  </a:srgbClr>
                </a:gs>
                <a:gs pos="93000">
                  <a:srgbClr val="F8F8F9">
                    <a:alpha val="0"/>
                  </a:srgbClr>
                </a:gs>
                <a:gs pos="100000">
                  <a:srgbClr val="969696"/>
                </a:gs>
                <a:gs pos="0">
                  <a:schemeClr val="bg1">
                    <a:lumMod val="59000"/>
                  </a:schemeClr>
                </a:gs>
              </a:gsLst>
              <a:lin ang="5400000" scaled="0"/>
            </a:gra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</xdr:grpSp>
      <xdr:grpSp>
        <xdr:nvGrpSpPr>
          <xdr:cNvPr id="87" name="Group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GrpSpPr/>
        </xdr:nvGrpSpPr>
        <xdr:grpSpPr>
          <a:xfrm>
            <a:off x="3597088" y="1122666"/>
            <a:ext cx="780160" cy="3788713"/>
            <a:chOff x="2313709" y="1266825"/>
            <a:chExt cx="1591080" cy="7655701"/>
          </a:xfrm>
          <a:effectLst>
            <a:outerShdw blurRad="76200" dir="13500000" sy="23000" kx="1200000" algn="br" rotWithShape="0">
              <a:prstClr val="black">
                <a:alpha val="20000"/>
              </a:prstClr>
            </a:outerShdw>
          </a:effectLst>
        </xdr:grpSpPr>
        <xdr:grpSp>
          <xdr:nvGrpSpPr>
            <xdr:cNvPr id="88" name="Group 87"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GrpSpPr/>
          </xdr:nvGrpSpPr>
          <xdr:grpSpPr>
            <a:xfrm>
              <a:off x="2313709" y="1266825"/>
              <a:ext cx="1583459" cy="1396195"/>
              <a:chOff x="3235325" y="515155"/>
              <a:chExt cx="1593850" cy="1396195"/>
            </a:xfrm>
          </xdr:grpSpPr>
          <xdr:sp macro="" textlink="">
            <xdr:nvSpPr>
              <xdr:cNvPr id="93" name="Can 92">
                <a:extLst>
                  <a:ext uri="{FF2B5EF4-FFF2-40B4-BE49-F238E27FC236}">
                    <a16:creationId xmlns:a16="http://schemas.microsoft.com/office/drawing/2014/main" id="{00000000-0008-0000-0000-00005D000000}"/>
                  </a:ext>
                </a:extLst>
              </xdr:cNvPr>
              <xdr:cNvSpPr/>
            </xdr:nvSpPr>
            <xdr:spPr>
              <a:xfrm>
                <a:off x="3235325" y="515155"/>
                <a:ext cx="1593850" cy="1396195"/>
              </a:xfrm>
              <a:prstGeom prst="can">
                <a:avLst>
                  <a:gd name="adj" fmla="val 39545"/>
                </a:avLst>
              </a:prstGeom>
              <a:gradFill>
                <a:gsLst>
                  <a:gs pos="51000">
                    <a:srgbClr val="FFFFFF"/>
                  </a:gs>
                  <a:gs pos="98540">
                    <a:srgbClr val="FDFCFE"/>
                  </a:gs>
                  <a:gs pos="0">
                    <a:srgbClr val="B9BDC0">
                      <a:lumMod val="97000"/>
                    </a:srgbClr>
                  </a:gs>
                </a:gsLst>
                <a:lin ang="0" scaled="0"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en-US"/>
              </a:p>
            </xdr:txBody>
          </xdr:sp>
          <xdr:sp macro="" textlink="">
            <xdr:nvSpPr>
              <xdr:cNvPr id="94" name="Oval 93">
                <a:extLst>
                  <a:ext uri="{FF2B5EF4-FFF2-40B4-BE49-F238E27FC236}">
                    <a16:creationId xmlns:a16="http://schemas.microsoft.com/office/drawing/2014/main" id="{00000000-0008-0000-0000-00005E000000}"/>
                  </a:ext>
                </a:extLst>
              </xdr:cNvPr>
              <xdr:cNvSpPr/>
            </xdr:nvSpPr>
            <xdr:spPr>
              <a:xfrm>
                <a:off x="3235325" y="515155"/>
                <a:ext cx="1584102" cy="553791"/>
              </a:xfrm>
              <a:prstGeom prst="ellipse">
                <a:avLst/>
              </a:prstGeom>
              <a:gradFill flip="none" rotWithShape="1">
                <a:gsLst>
                  <a:gs pos="0">
                    <a:srgbClr val="FDFCFE"/>
                  </a:gs>
                  <a:gs pos="100000">
                    <a:srgbClr val="C7CFD6">
                      <a:alpha val="85000"/>
                    </a:srgbClr>
                  </a:gs>
                </a:gsLst>
                <a:lin ang="0" scaled="0"/>
                <a:tileRect/>
              </a:gradFill>
              <a:ln w="3175">
                <a:solidFill>
                  <a:schemeClr val="bg1">
                    <a:lumMod val="9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en-US"/>
              </a:p>
            </xdr:txBody>
          </xdr:sp>
        </xdr:grpSp>
        <xdr:sp macro="" textlink="">
          <xdr:nvSpPr>
            <xdr:cNvPr id="89" name="Freeform 88">
              <a:extLst>
                <a:ext uri="{FF2B5EF4-FFF2-40B4-BE49-F238E27FC236}">
                  <a16:creationId xmlns:a16="http://schemas.microsoft.com/office/drawing/2014/main" id="{00000000-0008-0000-0000-000059000000}"/>
                </a:ext>
              </a:extLst>
            </xdr:cNvPr>
            <xdr:cNvSpPr/>
          </xdr:nvSpPr>
          <xdr:spPr>
            <a:xfrm rot="16200000">
              <a:off x="1858573" y="6883930"/>
              <a:ext cx="2503483" cy="1573709"/>
            </a:xfrm>
            <a:custGeom>
              <a:avLst/>
              <a:gdLst>
                <a:gd name="connsiteX0" fmla="*/ 2503483 w 2503483"/>
                <a:gd name="connsiteY0" fmla="*/ 0 h 1584100"/>
                <a:gd name="connsiteX1" fmla="*/ 2266369 w 2503483"/>
                <a:gd name="connsiteY1" fmla="*/ 792050 h 1584100"/>
                <a:gd name="connsiteX2" fmla="*/ 2503483 w 2503483"/>
                <a:gd name="connsiteY2" fmla="*/ 1584100 h 1584100"/>
                <a:gd name="connsiteX3" fmla="*/ 1422400 w 2503483"/>
                <a:gd name="connsiteY3" fmla="*/ 1584100 h 1584100"/>
                <a:gd name="connsiteX4" fmla="*/ 1318197 w 2503483"/>
                <a:gd name="connsiteY4" fmla="*/ 1584100 h 1584100"/>
                <a:gd name="connsiteX5" fmla="*/ 237114 w 2503483"/>
                <a:gd name="connsiteY5" fmla="*/ 1584100 h 1584100"/>
                <a:gd name="connsiteX6" fmla="*/ 0 w 2503483"/>
                <a:gd name="connsiteY6" fmla="*/ 792050 h 1584100"/>
                <a:gd name="connsiteX7" fmla="*/ 237114 w 2503483"/>
                <a:gd name="connsiteY7" fmla="*/ 0 h 1584100"/>
                <a:gd name="connsiteX8" fmla="*/ 1318197 w 2503483"/>
                <a:gd name="connsiteY8" fmla="*/ 0 h 1584100"/>
                <a:gd name="connsiteX9" fmla="*/ 1422400 w 2503483"/>
                <a:gd name="connsiteY9" fmla="*/ 0 h 1584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2503483" h="1584100">
                  <a:moveTo>
                    <a:pt x="2503483" y="0"/>
                  </a:moveTo>
                  <a:cubicBezTo>
                    <a:pt x="2372480" y="0"/>
                    <a:pt x="2266369" y="354680"/>
                    <a:pt x="2266369" y="792050"/>
                  </a:cubicBezTo>
                  <a:cubicBezTo>
                    <a:pt x="2266369" y="1229420"/>
                    <a:pt x="2372480" y="1584100"/>
                    <a:pt x="2503483" y="1584100"/>
                  </a:cubicBezTo>
                  <a:lnTo>
                    <a:pt x="1422400" y="1584100"/>
                  </a:lnTo>
                  <a:lnTo>
                    <a:pt x="1318197" y="1584100"/>
                  </a:lnTo>
                  <a:lnTo>
                    <a:pt x="237114" y="1584100"/>
                  </a:lnTo>
                  <a:cubicBezTo>
                    <a:pt x="106111" y="1584100"/>
                    <a:pt x="0" y="1229420"/>
                    <a:pt x="0" y="792050"/>
                  </a:cubicBezTo>
                  <a:cubicBezTo>
                    <a:pt x="0" y="354680"/>
                    <a:pt x="106111" y="0"/>
                    <a:pt x="237114" y="0"/>
                  </a:cubicBezTo>
                  <a:lnTo>
                    <a:pt x="1318197" y="0"/>
                  </a:lnTo>
                  <a:lnTo>
                    <a:pt x="1422400" y="0"/>
                  </a:lnTo>
                  <a:close/>
                </a:path>
              </a:pathLst>
            </a:custGeom>
            <a:gradFill>
              <a:gsLst>
                <a:gs pos="51000">
                  <a:srgbClr val="FFFFFF"/>
                </a:gs>
                <a:gs pos="98540">
                  <a:srgbClr val="FDFCFE"/>
                </a:gs>
                <a:gs pos="0">
                  <a:srgbClr val="B9BDC0">
                    <a:lumMod val="97000"/>
                  </a:srgbClr>
                </a:gs>
              </a:gsLst>
              <a:lin ang="5400000" scaled="0"/>
            </a:gra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90" name="Freeform 89">
              <a:extLst>
                <a:ext uri="{FF2B5EF4-FFF2-40B4-BE49-F238E27FC236}">
                  <a16:creationId xmlns:a16="http://schemas.microsoft.com/office/drawing/2014/main" id="{00000000-0008-0000-0000-00005A000000}"/>
                </a:ext>
              </a:extLst>
            </xdr:cNvPr>
            <xdr:cNvSpPr/>
          </xdr:nvSpPr>
          <xdr:spPr>
            <a:xfrm rot="16200000">
              <a:off x="2579785" y="7386928"/>
              <a:ext cx="1064961" cy="1585046"/>
            </a:xfrm>
            <a:custGeom>
              <a:avLst/>
              <a:gdLst>
                <a:gd name="connsiteX0" fmla="*/ 1064961 w 1064961"/>
                <a:gd name="connsiteY0" fmla="*/ 0 h 1595437"/>
                <a:gd name="connsiteX1" fmla="*/ 852325 w 1064961"/>
                <a:gd name="connsiteY1" fmla="*/ 797719 h 1595437"/>
                <a:gd name="connsiteX2" fmla="*/ 1064961 w 1064961"/>
                <a:gd name="connsiteY2" fmla="*/ 1595437 h 1595437"/>
                <a:gd name="connsiteX3" fmla="*/ 212636 w 1064961"/>
                <a:gd name="connsiteY3" fmla="*/ 1595437 h 1595437"/>
                <a:gd name="connsiteX4" fmla="*/ 0 w 1064961"/>
                <a:gd name="connsiteY4" fmla="*/ 797719 h 1595437"/>
                <a:gd name="connsiteX5" fmla="*/ 212636 w 1064961"/>
                <a:gd name="connsiteY5" fmla="*/ 0 h 1595437"/>
                <a:gd name="connsiteX6" fmla="*/ 1064961 w 1064961"/>
                <a:gd name="connsiteY6" fmla="*/ 0 h 159543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1064961" h="1595437">
                  <a:moveTo>
                    <a:pt x="1064961" y="0"/>
                  </a:moveTo>
                  <a:cubicBezTo>
                    <a:pt x="947482" y="0"/>
                    <a:pt x="852325" y="357219"/>
                    <a:pt x="852325" y="797719"/>
                  </a:cubicBezTo>
                  <a:cubicBezTo>
                    <a:pt x="852325" y="1238219"/>
                    <a:pt x="947482" y="1595437"/>
                    <a:pt x="1064961" y="1595437"/>
                  </a:cubicBezTo>
                  <a:lnTo>
                    <a:pt x="212636" y="1595437"/>
                  </a:lnTo>
                  <a:cubicBezTo>
                    <a:pt x="95157" y="1595437"/>
                    <a:pt x="0" y="1238219"/>
                    <a:pt x="0" y="797719"/>
                  </a:cubicBezTo>
                  <a:cubicBezTo>
                    <a:pt x="0" y="357219"/>
                    <a:pt x="95157" y="0"/>
                    <a:pt x="212636" y="0"/>
                  </a:cubicBezTo>
                  <a:lnTo>
                    <a:pt x="1064961" y="0"/>
                  </a:lnTo>
                  <a:close/>
                </a:path>
              </a:pathLst>
            </a:custGeom>
            <a:gradFill>
              <a:gsLst>
                <a:gs pos="51000">
                  <a:srgbClr val="FDFDFD"/>
                </a:gs>
                <a:gs pos="98540">
                  <a:srgbClr val="EAEBF0"/>
                </a:gs>
                <a:gs pos="0">
                  <a:srgbClr val="A8ACB0"/>
                </a:gs>
              </a:gsLst>
              <a:lin ang="5400000" scaled="0"/>
            </a:gra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91" name="Oval 90"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2967470" y="8173100"/>
              <a:ext cx="256887" cy="259200"/>
            </a:xfrm>
            <a:prstGeom prst="ellipse">
              <a:avLst/>
            </a:prstGeom>
            <a:solidFill>
              <a:srgbClr val="A62CBE"/>
            </a:solidFill>
            <a:ln>
              <a:noFill/>
            </a:ln>
            <a:scene3d>
              <a:camera prst="orthographicFront"/>
              <a:lightRig rig="threePt" dir="t"/>
            </a:scene3d>
            <a:sp3d>
              <a:bevelT w="127000" h="635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92" name="Freeform 91"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 rot="16200000">
              <a:off x="974184" y="3742631"/>
              <a:ext cx="4266686" cy="1585628"/>
            </a:xfrm>
            <a:custGeom>
              <a:avLst/>
              <a:gdLst>
                <a:gd name="connsiteX0" fmla="*/ 4266687 w 4266687"/>
                <a:gd name="connsiteY0" fmla="*/ 0 h 1590131"/>
                <a:gd name="connsiteX1" fmla="*/ 4029573 w 4266687"/>
                <a:gd name="connsiteY1" fmla="*/ 794488 h 1590131"/>
                <a:gd name="connsiteX2" fmla="*/ 4266687 w 4266687"/>
                <a:gd name="connsiteY2" fmla="*/ 1588976 h 1590131"/>
                <a:gd name="connsiteX3" fmla="*/ 3185604 w 4266687"/>
                <a:gd name="connsiteY3" fmla="*/ 1588976 h 1590131"/>
                <a:gd name="connsiteX4" fmla="*/ 3081401 w 4266687"/>
                <a:gd name="connsiteY4" fmla="*/ 1588976 h 1590131"/>
                <a:gd name="connsiteX5" fmla="*/ 2496656 w 4266687"/>
                <a:gd name="connsiteY5" fmla="*/ 1588976 h 1590131"/>
                <a:gd name="connsiteX6" fmla="*/ 2503483 w 4266687"/>
                <a:gd name="connsiteY6" fmla="*/ 1590131 h 1590131"/>
                <a:gd name="connsiteX7" fmla="*/ 1422400 w 4266687"/>
                <a:gd name="connsiteY7" fmla="*/ 1590131 h 1590131"/>
                <a:gd name="connsiteX8" fmla="*/ 1318197 w 4266687"/>
                <a:gd name="connsiteY8" fmla="*/ 1590131 h 1590131"/>
                <a:gd name="connsiteX9" fmla="*/ 237114 w 4266687"/>
                <a:gd name="connsiteY9" fmla="*/ 1590131 h 1590131"/>
                <a:gd name="connsiteX10" fmla="*/ 0 w 4266687"/>
                <a:gd name="connsiteY10" fmla="*/ 795643 h 1590131"/>
                <a:gd name="connsiteX11" fmla="*/ 237114 w 4266687"/>
                <a:gd name="connsiteY11" fmla="*/ 1155 h 1590131"/>
                <a:gd name="connsiteX12" fmla="*/ 1318197 w 4266687"/>
                <a:gd name="connsiteY12" fmla="*/ 1155 h 1590131"/>
                <a:gd name="connsiteX13" fmla="*/ 1422400 w 4266687"/>
                <a:gd name="connsiteY13" fmla="*/ 1155 h 1590131"/>
                <a:gd name="connsiteX14" fmla="*/ 1993491 w 4266687"/>
                <a:gd name="connsiteY14" fmla="*/ 1155 h 1590131"/>
                <a:gd name="connsiteX15" fmla="*/ 2000318 w 4266687"/>
                <a:gd name="connsiteY15" fmla="*/ 0 h 1590131"/>
                <a:gd name="connsiteX16" fmla="*/ 3081401 w 4266687"/>
                <a:gd name="connsiteY16" fmla="*/ 0 h 1590131"/>
                <a:gd name="connsiteX17" fmla="*/ 3185604 w 4266687"/>
                <a:gd name="connsiteY17" fmla="*/ 0 h 159013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</a:cxnLst>
              <a:rect l="l" t="t" r="r" b="b"/>
              <a:pathLst>
                <a:path w="4266687" h="1590131">
                  <a:moveTo>
                    <a:pt x="4266687" y="0"/>
                  </a:moveTo>
                  <a:cubicBezTo>
                    <a:pt x="4135684" y="0"/>
                    <a:pt x="4029573" y="355772"/>
                    <a:pt x="4029573" y="794488"/>
                  </a:cubicBezTo>
                  <a:cubicBezTo>
                    <a:pt x="4029573" y="1233205"/>
                    <a:pt x="4135684" y="1588976"/>
                    <a:pt x="4266687" y="1588976"/>
                  </a:cubicBezTo>
                  <a:lnTo>
                    <a:pt x="3185604" y="1588976"/>
                  </a:lnTo>
                  <a:lnTo>
                    <a:pt x="3081401" y="1588976"/>
                  </a:lnTo>
                  <a:lnTo>
                    <a:pt x="2496656" y="1588976"/>
                  </a:lnTo>
                  <a:lnTo>
                    <a:pt x="2503483" y="1590131"/>
                  </a:lnTo>
                  <a:lnTo>
                    <a:pt x="1422400" y="1590131"/>
                  </a:lnTo>
                  <a:lnTo>
                    <a:pt x="1318197" y="1590131"/>
                  </a:lnTo>
                  <a:lnTo>
                    <a:pt x="237114" y="1590131"/>
                  </a:lnTo>
                  <a:cubicBezTo>
                    <a:pt x="106111" y="1590131"/>
                    <a:pt x="0" y="1234360"/>
                    <a:pt x="0" y="795643"/>
                  </a:cubicBezTo>
                  <a:cubicBezTo>
                    <a:pt x="0" y="356927"/>
                    <a:pt x="106111" y="1155"/>
                    <a:pt x="237114" y="1155"/>
                  </a:cubicBezTo>
                  <a:lnTo>
                    <a:pt x="1318197" y="1155"/>
                  </a:lnTo>
                  <a:lnTo>
                    <a:pt x="1422400" y="1155"/>
                  </a:lnTo>
                  <a:lnTo>
                    <a:pt x="1993491" y="1155"/>
                  </a:lnTo>
                  <a:lnTo>
                    <a:pt x="2000318" y="0"/>
                  </a:lnTo>
                  <a:lnTo>
                    <a:pt x="3081401" y="0"/>
                  </a:lnTo>
                  <a:lnTo>
                    <a:pt x="3185604" y="0"/>
                  </a:lnTo>
                  <a:close/>
                </a:path>
              </a:pathLst>
            </a:custGeom>
            <a:gradFill>
              <a:gsLst>
                <a:gs pos="7000">
                  <a:srgbClr val="C4C8CB">
                    <a:alpha val="0"/>
                    <a:lumMod val="70000"/>
                    <a:lumOff val="30000"/>
                  </a:srgbClr>
                </a:gs>
                <a:gs pos="26000">
                  <a:schemeClr val="bg1">
                    <a:alpha val="25000"/>
                  </a:schemeClr>
                </a:gs>
                <a:gs pos="24000">
                  <a:srgbClr val="FFFFFF">
                    <a:alpha val="0"/>
                  </a:srgbClr>
                </a:gs>
                <a:gs pos="93000">
                  <a:srgbClr val="F8F8F9">
                    <a:alpha val="0"/>
                  </a:srgbClr>
                </a:gs>
                <a:gs pos="100000">
                  <a:srgbClr val="969696"/>
                </a:gs>
                <a:gs pos="0">
                  <a:schemeClr val="bg1">
                    <a:lumMod val="59000"/>
                  </a:schemeClr>
                </a:gs>
              </a:gsLst>
              <a:lin ang="5400000" scaled="0"/>
            </a:gra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</xdr:grpSp>
      <xdr:grpSp>
        <xdr:nvGrpSpPr>
          <xdr:cNvPr id="11" name="Group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GrpSpPr/>
        </xdr:nvGrpSpPr>
        <xdr:grpSpPr>
          <a:xfrm>
            <a:off x="2440201" y="1122666"/>
            <a:ext cx="787363" cy="3788713"/>
            <a:chOff x="2313709" y="1266825"/>
            <a:chExt cx="1591080" cy="7655701"/>
          </a:xfrm>
          <a:effectLst>
            <a:outerShdw blurRad="76200" dir="13500000" sy="23000" kx="1200000" algn="br" rotWithShape="0">
              <a:prstClr val="black">
                <a:alpha val="20000"/>
              </a:prstClr>
            </a:outerShdw>
          </a:effectLst>
        </xdr:grpSpPr>
        <xdr:grpSp>
          <xdr:nvGrpSpPr>
            <xdr:cNvPr id="4" name="Group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pSpPr/>
          </xdr:nvGrpSpPr>
          <xdr:grpSpPr>
            <a:xfrm>
              <a:off x="2313709" y="1266825"/>
              <a:ext cx="1583459" cy="1396195"/>
              <a:chOff x="3235325" y="515155"/>
              <a:chExt cx="1593850" cy="1396195"/>
            </a:xfrm>
          </xdr:grpSpPr>
          <xdr:sp macro="" textlink="">
            <xdr:nvSpPr>
              <xdr:cNvPr id="9" name="Can 8">
                <a:extLst>
                  <a:ext uri="{FF2B5EF4-FFF2-40B4-BE49-F238E27FC236}">
                    <a16:creationId xmlns:a16="http://schemas.microsoft.com/office/drawing/2014/main" id="{00000000-0008-0000-0000-000009000000}"/>
                  </a:ext>
                </a:extLst>
              </xdr:cNvPr>
              <xdr:cNvSpPr/>
            </xdr:nvSpPr>
            <xdr:spPr>
              <a:xfrm>
                <a:off x="3235325" y="515155"/>
                <a:ext cx="1593850" cy="1396195"/>
              </a:xfrm>
              <a:prstGeom prst="can">
                <a:avLst>
                  <a:gd name="adj" fmla="val 39545"/>
                </a:avLst>
              </a:prstGeom>
              <a:gradFill>
                <a:gsLst>
                  <a:gs pos="51000">
                    <a:srgbClr val="FFFFFF"/>
                  </a:gs>
                  <a:gs pos="98540">
                    <a:srgbClr val="FDFCFE"/>
                  </a:gs>
                  <a:gs pos="0">
                    <a:srgbClr val="B9BDC0">
                      <a:lumMod val="97000"/>
                    </a:srgbClr>
                  </a:gs>
                </a:gsLst>
                <a:lin ang="0" scaled="0"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en-US"/>
              </a:p>
            </xdr:txBody>
          </xdr:sp>
          <xdr:sp macro="" textlink="">
            <xdr:nvSpPr>
              <xdr:cNvPr id="10" name="Oval 9">
                <a:extLst>
                  <a:ext uri="{FF2B5EF4-FFF2-40B4-BE49-F238E27FC236}">
                    <a16:creationId xmlns:a16="http://schemas.microsoft.com/office/drawing/2014/main" id="{00000000-0008-0000-0000-00000A000000}"/>
                  </a:ext>
                </a:extLst>
              </xdr:cNvPr>
              <xdr:cNvSpPr/>
            </xdr:nvSpPr>
            <xdr:spPr>
              <a:xfrm>
                <a:off x="3235325" y="515155"/>
                <a:ext cx="1584102" cy="553791"/>
              </a:xfrm>
              <a:prstGeom prst="ellipse">
                <a:avLst/>
              </a:prstGeom>
              <a:gradFill flip="none" rotWithShape="1">
                <a:gsLst>
                  <a:gs pos="0">
                    <a:srgbClr val="FDFCFE"/>
                  </a:gs>
                  <a:gs pos="100000">
                    <a:srgbClr val="C7CFD6">
                      <a:alpha val="85000"/>
                    </a:srgbClr>
                  </a:gs>
                </a:gsLst>
                <a:lin ang="0" scaled="0"/>
                <a:tileRect/>
              </a:gradFill>
              <a:ln w="3175">
                <a:solidFill>
                  <a:schemeClr val="bg1">
                    <a:lumMod val="9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en-US"/>
              </a:p>
            </xdr:txBody>
          </xdr:sp>
        </xdr:grpSp>
        <xdr:sp macro="" textlink="">
          <xdr:nvSpPr>
            <xdr:cNvPr id="5" name="Freeform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>
            <a:xfrm rot="16200000">
              <a:off x="1858573" y="6883930"/>
              <a:ext cx="2503483" cy="1573709"/>
            </a:xfrm>
            <a:custGeom>
              <a:avLst/>
              <a:gdLst>
                <a:gd name="connsiteX0" fmla="*/ 2503483 w 2503483"/>
                <a:gd name="connsiteY0" fmla="*/ 0 h 1584100"/>
                <a:gd name="connsiteX1" fmla="*/ 2266369 w 2503483"/>
                <a:gd name="connsiteY1" fmla="*/ 792050 h 1584100"/>
                <a:gd name="connsiteX2" fmla="*/ 2503483 w 2503483"/>
                <a:gd name="connsiteY2" fmla="*/ 1584100 h 1584100"/>
                <a:gd name="connsiteX3" fmla="*/ 1422400 w 2503483"/>
                <a:gd name="connsiteY3" fmla="*/ 1584100 h 1584100"/>
                <a:gd name="connsiteX4" fmla="*/ 1318197 w 2503483"/>
                <a:gd name="connsiteY4" fmla="*/ 1584100 h 1584100"/>
                <a:gd name="connsiteX5" fmla="*/ 237114 w 2503483"/>
                <a:gd name="connsiteY5" fmla="*/ 1584100 h 1584100"/>
                <a:gd name="connsiteX6" fmla="*/ 0 w 2503483"/>
                <a:gd name="connsiteY6" fmla="*/ 792050 h 1584100"/>
                <a:gd name="connsiteX7" fmla="*/ 237114 w 2503483"/>
                <a:gd name="connsiteY7" fmla="*/ 0 h 1584100"/>
                <a:gd name="connsiteX8" fmla="*/ 1318197 w 2503483"/>
                <a:gd name="connsiteY8" fmla="*/ 0 h 1584100"/>
                <a:gd name="connsiteX9" fmla="*/ 1422400 w 2503483"/>
                <a:gd name="connsiteY9" fmla="*/ 0 h 1584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2503483" h="1584100">
                  <a:moveTo>
                    <a:pt x="2503483" y="0"/>
                  </a:moveTo>
                  <a:cubicBezTo>
                    <a:pt x="2372480" y="0"/>
                    <a:pt x="2266369" y="354680"/>
                    <a:pt x="2266369" y="792050"/>
                  </a:cubicBezTo>
                  <a:cubicBezTo>
                    <a:pt x="2266369" y="1229420"/>
                    <a:pt x="2372480" y="1584100"/>
                    <a:pt x="2503483" y="1584100"/>
                  </a:cubicBezTo>
                  <a:lnTo>
                    <a:pt x="1422400" y="1584100"/>
                  </a:lnTo>
                  <a:lnTo>
                    <a:pt x="1318197" y="1584100"/>
                  </a:lnTo>
                  <a:lnTo>
                    <a:pt x="237114" y="1584100"/>
                  </a:lnTo>
                  <a:cubicBezTo>
                    <a:pt x="106111" y="1584100"/>
                    <a:pt x="0" y="1229420"/>
                    <a:pt x="0" y="792050"/>
                  </a:cubicBezTo>
                  <a:cubicBezTo>
                    <a:pt x="0" y="354680"/>
                    <a:pt x="106111" y="0"/>
                    <a:pt x="237114" y="0"/>
                  </a:cubicBezTo>
                  <a:lnTo>
                    <a:pt x="1318197" y="0"/>
                  </a:lnTo>
                  <a:lnTo>
                    <a:pt x="1422400" y="0"/>
                  </a:lnTo>
                  <a:close/>
                </a:path>
              </a:pathLst>
            </a:custGeom>
            <a:gradFill>
              <a:gsLst>
                <a:gs pos="51000">
                  <a:srgbClr val="FFFFFF"/>
                </a:gs>
                <a:gs pos="98540">
                  <a:srgbClr val="FDFCFE"/>
                </a:gs>
                <a:gs pos="0">
                  <a:srgbClr val="B9BDC0">
                    <a:lumMod val="97000"/>
                  </a:srgbClr>
                </a:gs>
              </a:gsLst>
              <a:lin ang="5400000" scaled="0"/>
            </a:gra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6" name="Freefor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 rot="16200000">
              <a:off x="2579785" y="7386928"/>
              <a:ext cx="1064961" cy="1585046"/>
            </a:xfrm>
            <a:custGeom>
              <a:avLst/>
              <a:gdLst>
                <a:gd name="connsiteX0" fmla="*/ 1064961 w 1064961"/>
                <a:gd name="connsiteY0" fmla="*/ 0 h 1595437"/>
                <a:gd name="connsiteX1" fmla="*/ 852325 w 1064961"/>
                <a:gd name="connsiteY1" fmla="*/ 797719 h 1595437"/>
                <a:gd name="connsiteX2" fmla="*/ 1064961 w 1064961"/>
                <a:gd name="connsiteY2" fmla="*/ 1595437 h 1595437"/>
                <a:gd name="connsiteX3" fmla="*/ 212636 w 1064961"/>
                <a:gd name="connsiteY3" fmla="*/ 1595437 h 1595437"/>
                <a:gd name="connsiteX4" fmla="*/ 0 w 1064961"/>
                <a:gd name="connsiteY4" fmla="*/ 797719 h 1595437"/>
                <a:gd name="connsiteX5" fmla="*/ 212636 w 1064961"/>
                <a:gd name="connsiteY5" fmla="*/ 0 h 1595437"/>
                <a:gd name="connsiteX6" fmla="*/ 1064961 w 1064961"/>
                <a:gd name="connsiteY6" fmla="*/ 0 h 159543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1064961" h="1595437">
                  <a:moveTo>
                    <a:pt x="1064961" y="0"/>
                  </a:moveTo>
                  <a:cubicBezTo>
                    <a:pt x="947482" y="0"/>
                    <a:pt x="852325" y="357219"/>
                    <a:pt x="852325" y="797719"/>
                  </a:cubicBezTo>
                  <a:cubicBezTo>
                    <a:pt x="852325" y="1238219"/>
                    <a:pt x="947482" y="1595437"/>
                    <a:pt x="1064961" y="1595437"/>
                  </a:cubicBezTo>
                  <a:lnTo>
                    <a:pt x="212636" y="1595437"/>
                  </a:lnTo>
                  <a:cubicBezTo>
                    <a:pt x="95157" y="1595437"/>
                    <a:pt x="0" y="1238219"/>
                    <a:pt x="0" y="797719"/>
                  </a:cubicBezTo>
                  <a:cubicBezTo>
                    <a:pt x="0" y="357219"/>
                    <a:pt x="95157" y="0"/>
                    <a:pt x="212636" y="0"/>
                  </a:cubicBezTo>
                  <a:lnTo>
                    <a:pt x="1064961" y="0"/>
                  </a:lnTo>
                  <a:close/>
                </a:path>
              </a:pathLst>
            </a:custGeom>
            <a:gradFill>
              <a:gsLst>
                <a:gs pos="51000">
                  <a:srgbClr val="FDFDFD"/>
                </a:gs>
                <a:gs pos="98540">
                  <a:srgbClr val="EAEBF0"/>
                </a:gs>
                <a:gs pos="0">
                  <a:srgbClr val="A8ACB0"/>
                </a:gs>
              </a:gsLst>
              <a:lin ang="5400000" scaled="0"/>
            </a:gra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" name="Oval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>
            <a:xfrm>
              <a:off x="2967470" y="8173100"/>
              <a:ext cx="256887" cy="259200"/>
            </a:xfrm>
            <a:prstGeom prst="ellipse">
              <a:avLst/>
            </a:prstGeom>
            <a:solidFill>
              <a:srgbClr val="C11A83"/>
            </a:solidFill>
            <a:ln>
              <a:noFill/>
            </a:ln>
            <a:scene3d>
              <a:camera prst="orthographicFront"/>
              <a:lightRig rig="threePt" dir="t"/>
            </a:scene3d>
            <a:sp3d>
              <a:bevelT w="127000" h="635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8" name="Freefor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/>
          </xdr:nvSpPr>
          <xdr:spPr>
            <a:xfrm rot="16200000">
              <a:off x="974184" y="3742631"/>
              <a:ext cx="4266686" cy="1585628"/>
            </a:xfrm>
            <a:custGeom>
              <a:avLst/>
              <a:gdLst>
                <a:gd name="connsiteX0" fmla="*/ 4266687 w 4266687"/>
                <a:gd name="connsiteY0" fmla="*/ 0 h 1590131"/>
                <a:gd name="connsiteX1" fmla="*/ 4029573 w 4266687"/>
                <a:gd name="connsiteY1" fmla="*/ 794488 h 1590131"/>
                <a:gd name="connsiteX2" fmla="*/ 4266687 w 4266687"/>
                <a:gd name="connsiteY2" fmla="*/ 1588976 h 1590131"/>
                <a:gd name="connsiteX3" fmla="*/ 3185604 w 4266687"/>
                <a:gd name="connsiteY3" fmla="*/ 1588976 h 1590131"/>
                <a:gd name="connsiteX4" fmla="*/ 3081401 w 4266687"/>
                <a:gd name="connsiteY4" fmla="*/ 1588976 h 1590131"/>
                <a:gd name="connsiteX5" fmla="*/ 2496656 w 4266687"/>
                <a:gd name="connsiteY5" fmla="*/ 1588976 h 1590131"/>
                <a:gd name="connsiteX6" fmla="*/ 2503483 w 4266687"/>
                <a:gd name="connsiteY6" fmla="*/ 1590131 h 1590131"/>
                <a:gd name="connsiteX7" fmla="*/ 1422400 w 4266687"/>
                <a:gd name="connsiteY7" fmla="*/ 1590131 h 1590131"/>
                <a:gd name="connsiteX8" fmla="*/ 1318197 w 4266687"/>
                <a:gd name="connsiteY8" fmla="*/ 1590131 h 1590131"/>
                <a:gd name="connsiteX9" fmla="*/ 237114 w 4266687"/>
                <a:gd name="connsiteY9" fmla="*/ 1590131 h 1590131"/>
                <a:gd name="connsiteX10" fmla="*/ 0 w 4266687"/>
                <a:gd name="connsiteY10" fmla="*/ 795643 h 1590131"/>
                <a:gd name="connsiteX11" fmla="*/ 237114 w 4266687"/>
                <a:gd name="connsiteY11" fmla="*/ 1155 h 1590131"/>
                <a:gd name="connsiteX12" fmla="*/ 1318197 w 4266687"/>
                <a:gd name="connsiteY12" fmla="*/ 1155 h 1590131"/>
                <a:gd name="connsiteX13" fmla="*/ 1422400 w 4266687"/>
                <a:gd name="connsiteY13" fmla="*/ 1155 h 1590131"/>
                <a:gd name="connsiteX14" fmla="*/ 1993491 w 4266687"/>
                <a:gd name="connsiteY14" fmla="*/ 1155 h 1590131"/>
                <a:gd name="connsiteX15" fmla="*/ 2000318 w 4266687"/>
                <a:gd name="connsiteY15" fmla="*/ 0 h 1590131"/>
                <a:gd name="connsiteX16" fmla="*/ 3081401 w 4266687"/>
                <a:gd name="connsiteY16" fmla="*/ 0 h 1590131"/>
                <a:gd name="connsiteX17" fmla="*/ 3185604 w 4266687"/>
                <a:gd name="connsiteY17" fmla="*/ 0 h 159013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</a:cxnLst>
              <a:rect l="l" t="t" r="r" b="b"/>
              <a:pathLst>
                <a:path w="4266687" h="1590131">
                  <a:moveTo>
                    <a:pt x="4266687" y="0"/>
                  </a:moveTo>
                  <a:cubicBezTo>
                    <a:pt x="4135684" y="0"/>
                    <a:pt x="4029573" y="355772"/>
                    <a:pt x="4029573" y="794488"/>
                  </a:cubicBezTo>
                  <a:cubicBezTo>
                    <a:pt x="4029573" y="1233205"/>
                    <a:pt x="4135684" y="1588976"/>
                    <a:pt x="4266687" y="1588976"/>
                  </a:cubicBezTo>
                  <a:lnTo>
                    <a:pt x="3185604" y="1588976"/>
                  </a:lnTo>
                  <a:lnTo>
                    <a:pt x="3081401" y="1588976"/>
                  </a:lnTo>
                  <a:lnTo>
                    <a:pt x="2496656" y="1588976"/>
                  </a:lnTo>
                  <a:lnTo>
                    <a:pt x="2503483" y="1590131"/>
                  </a:lnTo>
                  <a:lnTo>
                    <a:pt x="1422400" y="1590131"/>
                  </a:lnTo>
                  <a:lnTo>
                    <a:pt x="1318197" y="1590131"/>
                  </a:lnTo>
                  <a:lnTo>
                    <a:pt x="237114" y="1590131"/>
                  </a:lnTo>
                  <a:cubicBezTo>
                    <a:pt x="106111" y="1590131"/>
                    <a:pt x="0" y="1234360"/>
                    <a:pt x="0" y="795643"/>
                  </a:cubicBezTo>
                  <a:cubicBezTo>
                    <a:pt x="0" y="356927"/>
                    <a:pt x="106111" y="1155"/>
                    <a:pt x="237114" y="1155"/>
                  </a:cubicBezTo>
                  <a:lnTo>
                    <a:pt x="1318197" y="1155"/>
                  </a:lnTo>
                  <a:lnTo>
                    <a:pt x="1422400" y="1155"/>
                  </a:lnTo>
                  <a:lnTo>
                    <a:pt x="1993491" y="1155"/>
                  </a:lnTo>
                  <a:lnTo>
                    <a:pt x="2000318" y="0"/>
                  </a:lnTo>
                  <a:lnTo>
                    <a:pt x="3081401" y="0"/>
                  </a:lnTo>
                  <a:lnTo>
                    <a:pt x="3185604" y="0"/>
                  </a:lnTo>
                  <a:close/>
                </a:path>
              </a:pathLst>
            </a:custGeom>
            <a:gradFill>
              <a:gsLst>
                <a:gs pos="7000">
                  <a:srgbClr val="C4C8CB">
                    <a:alpha val="0"/>
                    <a:lumMod val="70000"/>
                    <a:lumOff val="30000"/>
                  </a:srgbClr>
                </a:gs>
                <a:gs pos="26000">
                  <a:schemeClr val="bg1">
                    <a:alpha val="25000"/>
                  </a:schemeClr>
                </a:gs>
                <a:gs pos="24000">
                  <a:srgbClr val="FFFFFF">
                    <a:alpha val="0"/>
                  </a:srgbClr>
                </a:gs>
                <a:gs pos="93000">
                  <a:srgbClr val="F8F8F9">
                    <a:alpha val="0"/>
                  </a:srgbClr>
                </a:gs>
                <a:gs pos="100000">
                  <a:srgbClr val="969696"/>
                </a:gs>
                <a:gs pos="0">
                  <a:schemeClr val="bg1">
                    <a:lumMod val="59000"/>
                  </a:schemeClr>
                </a:gs>
              </a:gsLst>
              <a:lin ang="5400000" scaled="0"/>
            </a:gra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</xdr:grpSp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1290517" y="1122666"/>
            <a:ext cx="787364" cy="3788713"/>
            <a:chOff x="2313709" y="1266825"/>
            <a:chExt cx="1591080" cy="7655701"/>
          </a:xfrm>
          <a:effectLst>
            <a:outerShdw blurRad="76200" dir="13500000" sy="23000" kx="1200000" algn="br" rotWithShape="0">
              <a:prstClr val="black">
                <a:alpha val="20000"/>
              </a:prstClr>
            </a:outerShdw>
          </a:effectLst>
        </xdr:grpSpPr>
        <xdr:grpSp>
          <xdr:nvGrpSpPr>
            <xdr:cNvPr id="64" name="Group 63">
              <a:extLst>
                <a:ext uri="{FF2B5EF4-FFF2-40B4-BE49-F238E27FC236}">
                  <a16:creationId xmlns:a16="http://schemas.microsoft.com/office/drawing/2014/main" id="{00000000-0008-0000-0000-000040000000}"/>
                </a:ext>
              </a:extLst>
            </xdr:cNvPr>
            <xdr:cNvGrpSpPr/>
          </xdr:nvGrpSpPr>
          <xdr:grpSpPr>
            <a:xfrm>
              <a:off x="2313709" y="1266825"/>
              <a:ext cx="1583459" cy="1396195"/>
              <a:chOff x="3235325" y="515155"/>
              <a:chExt cx="1593850" cy="1396195"/>
            </a:xfrm>
          </xdr:grpSpPr>
          <xdr:sp macro="" textlink="">
            <xdr:nvSpPr>
              <xdr:cNvPr id="69" name="Can 68">
                <a:extLst>
                  <a:ext uri="{FF2B5EF4-FFF2-40B4-BE49-F238E27FC236}">
                    <a16:creationId xmlns:a16="http://schemas.microsoft.com/office/drawing/2014/main" id="{00000000-0008-0000-0000-000045000000}"/>
                  </a:ext>
                </a:extLst>
              </xdr:cNvPr>
              <xdr:cNvSpPr/>
            </xdr:nvSpPr>
            <xdr:spPr>
              <a:xfrm>
                <a:off x="3235325" y="515155"/>
                <a:ext cx="1593850" cy="1396195"/>
              </a:xfrm>
              <a:prstGeom prst="can">
                <a:avLst>
                  <a:gd name="adj" fmla="val 39545"/>
                </a:avLst>
              </a:prstGeom>
              <a:gradFill>
                <a:gsLst>
                  <a:gs pos="51000">
                    <a:srgbClr val="FFFFFF"/>
                  </a:gs>
                  <a:gs pos="98540">
                    <a:srgbClr val="FDFCFE"/>
                  </a:gs>
                  <a:gs pos="0">
                    <a:srgbClr val="B9BDC0">
                      <a:lumMod val="97000"/>
                    </a:srgbClr>
                  </a:gs>
                </a:gsLst>
                <a:lin ang="0" scaled="0"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en-US"/>
              </a:p>
            </xdr:txBody>
          </xdr:sp>
          <xdr:sp macro="" textlink="">
            <xdr:nvSpPr>
              <xdr:cNvPr id="70" name="Oval 69">
                <a:extLst>
                  <a:ext uri="{FF2B5EF4-FFF2-40B4-BE49-F238E27FC236}">
                    <a16:creationId xmlns:a16="http://schemas.microsoft.com/office/drawing/2014/main" id="{00000000-0008-0000-0000-000046000000}"/>
                  </a:ext>
                </a:extLst>
              </xdr:cNvPr>
              <xdr:cNvSpPr/>
            </xdr:nvSpPr>
            <xdr:spPr>
              <a:xfrm>
                <a:off x="3235325" y="515155"/>
                <a:ext cx="1584102" cy="553791"/>
              </a:xfrm>
              <a:prstGeom prst="ellipse">
                <a:avLst/>
              </a:prstGeom>
              <a:gradFill flip="none" rotWithShape="1">
                <a:gsLst>
                  <a:gs pos="0">
                    <a:srgbClr val="FDFCFE"/>
                  </a:gs>
                  <a:gs pos="100000">
                    <a:srgbClr val="C7CFD6">
                      <a:alpha val="85000"/>
                    </a:srgbClr>
                  </a:gs>
                </a:gsLst>
                <a:lin ang="0" scaled="0"/>
                <a:tileRect/>
              </a:gradFill>
              <a:ln w="3175">
                <a:solidFill>
                  <a:schemeClr val="bg1">
                    <a:lumMod val="9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en-US"/>
              </a:p>
            </xdr:txBody>
          </xdr:sp>
        </xdr:grpSp>
        <xdr:sp macro="" textlink="">
          <xdr:nvSpPr>
            <xdr:cNvPr id="65" name="Freeform 64">
              <a:extLst>
                <a:ext uri="{FF2B5EF4-FFF2-40B4-BE49-F238E27FC236}">
                  <a16:creationId xmlns:a16="http://schemas.microsoft.com/office/drawing/2014/main" id="{00000000-0008-0000-0000-000041000000}"/>
                </a:ext>
              </a:extLst>
            </xdr:cNvPr>
            <xdr:cNvSpPr/>
          </xdr:nvSpPr>
          <xdr:spPr>
            <a:xfrm rot="16200000">
              <a:off x="1858573" y="6883930"/>
              <a:ext cx="2503483" cy="1573709"/>
            </a:xfrm>
            <a:custGeom>
              <a:avLst/>
              <a:gdLst>
                <a:gd name="connsiteX0" fmla="*/ 2503483 w 2503483"/>
                <a:gd name="connsiteY0" fmla="*/ 0 h 1584100"/>
                <a:gd name="connsiteX1" fmla="*/ 2266369 w 2503483"/>
                <a:gd name="connsiteY1" fmla="*/ 792050 h 1584100"/>
                <a:gd name="connsiteX2" fmla="*/ 2503483 w 2503483"/>
                <a:gd name="connsiteY2" fmla="*/ 1584100 h 1584100"/>
                <a:gd name="connsiteX3" fmla="*/ 1422400 w 2503483"/>
                <a:gd name="connsiteY3" fmla="*/ 1584100 h 1584100"/>
                <a:gd name="connsiteX4" fmla="*/ 1318197 w 2503483"/>
                <a:gd name="connsiteY4" fmla="*/ 1584100 h 1584100"/>
                <a:gd name="connsiteX5" fmla="*/ 237114 w 2503483"/>
                <a:gd name="connsiteY5" fmla="*/ 1584100 h 1584100"/>
                <a:gd name="connsiteX6" fmla="*/ 0 w 2503483"/>
                <a:gd name="connsiteY6" fmla="*/ 792050 h 1584100"/>
                <a:gd name="connsiteX7" fmla="*/ 237114 w 2503483"/>
                <a:gd name="connsiteY7" fmla="*/ 0 h 1584100"/>
                <a:gd name="connsiteX8" fmla="*/ 1318197 w 2503483"/>
                <a:gd name="connsiteY8" fmla="*/ 0 h 1584100"/>
                <a:gd name="connsiteX9" fmla="*/ 1422400 w 2503483"/>
                <a:gd name="connsiteY9" fmla="*/ 0 h 1584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2503483" h="1584100">
                  <a:moveTo>
                    <a:pt x="2503483" y="0"/>
                  </a:moveTo>
                  <a:cubicBezTo>
                    <a:pt x="2372480" y="0"/>
                    <a:pt x="2266369" y="354680"/>
                    <a:pt x="2266369" y="792050"/>
                  </a:cubicBezTo>
                  <a:cubicBezTo>
                    <a:pt x="2266369" y="1229420"/>
                    <a:pt x="2372480" y="1584100"/>
                    <a:pt x="2503483" y="1584100"/>
                  </a:cubicBezTo>
                  <a:lnTo>
                    <a:pt x="1422400" y="1584100"/>
                  </a:lnTo>
                  <a:lnTo>
                    <a:pt x="1318197" y="1584100"/>
                  </a:lnTo>
                  <a:lnTo>
                    <a:pt x="237114" y="1584100"/>
                  </a:lnTo>
                  <a:cubicBezTo>
                    <a:pt x="106111" y="1584100"/>
                    <a:pt x="0" y="1229420"/>
                    <a:pt x="0" y="792050"/>
                  </a:cubicBezTo>
                  <a:cubicBezTo>
                    <a:pt x="0" y="354680"/>
                    <a:pt x="106111" y="0"/>
                    <a:pt x="237114" y="0"/>
                  </a:cubicBezTo>
                  <a:lnTo>
                    <a:pt x="1318197" y="0"/>
                  </a:lnTo>
                  <a:lnTo>
                    <a:pt x="1422400" y="0"/>
                  </a:lnTo>
                  <a:close/>
                </a:path>
              </a:pathLst>
            </a:custGeom>
            <a:gradFill>
              <a:gsLst>
                <a:gs pos="51000">
                  <a:srgbClr val="FFFFFF"/>
                </a:gs>
                <a:gs pos="98540">
                  <a:srgbClr val="FDFCFE"/>
                </a:gs>
                <a:gs pos="0">
                  <a:srgbClr val="B9BDC0">
                    <a:lumMod val="97000"/>
                  </a:srgbClr>
                </a:gs>
              </a:gsLst>
              <a:lin ang="5400000" scaled="0"/>
            </a:gra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66" name="Freeform 65">
              <a:extLst>
                <a:ext uri="{FF2B5EF4-FFF2-40B4-BE49-F238E27FC236}">
                  <a16:creationId xmlns:a16="http://schemas.microsoft.com/office/drawing/2014/main" id="{00000000-0008-0000-0000-000042000000}"/>
                </a:ext>
              </a:extLst>
            </xdr:cNvPr>
            <xdr:cNvSpPr/>
          </xdr:nvSpPr>
          <xdr:spPr>
            <a:xfrm rot="16200000">
              <a:off x="2579785" y="7386928"/>
              <a:ext cx="1064961" cy="1585046"/>
            </a:xfrm>
            <a:custGeom>
              <a:avLst/>
              <a:gdLst>
                <a:gd name="connsiteX0" fmla="*/ 1064961 w 1064961"/>
                <a:gd name="connsiteY0" fmla="*/ 0 h 1595437"/>
                <a:gd name="connsiteX1" fmla="*/ 852325 w 1064961"/>
                <a:gd name="connsiteY1" fmla="*/ 797719 h 1595437"/>
                <a:gd name="connsiteX2" fmla="*/ 1064961 w 1064961"/>
                <a:gd name="connsiteY2" fmla="*/ 1595437 h 1595437"/>
                <a:gd name="connsiteX3" fmla="*/ 212636 w 1064961"/>
                <a:gd name="connsiteY3" fmla="*/ 1595437 h 1595437"/>
                <a:gd name="connsiteX4" fmla="*/ 0 w 1064961"/>
                <a:gd name="connsiteY4" fmla="*/ 797719 h 1595437"/>
                <a:gd name="connsiteX5" fmla="*/ 212636 w 1064961"/>
                <a:gd name="connsiteY5" fmla="*/ 0 h 1595437"/>
                <a:gd name="connsiteX6" fmla="*/ 1064961 w 1064961"/>
                <a:gd name="connsiteY6" fmla="*/ 0 h 159543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1064961" h="1595437">
                  <a:moveTo>
                    <a:pt x="1064961" y="0"/>
                  </a:moveTo>
                  <a:cubicBezTo>
                    <a:pt x="947482" y="0"/>
                    <a:pt x="852325" y="357219"/>
                    <a:pt x="852325" y="797719"/>
                  </a:cubicBezTo>
                  <a:cubicBezTo>
                    <a:pt x="852325" y="1238219"/>
                    <a:pt x="947482" y="1595437"/>
                    <a:pt x="1064961" y="1595437"/>
                  </a:cubicBezTo>
                  <a:lnTo>
                    <a:pt x="212636" y="1595437"/>
                  </a:lnTo>
                  <a:cubicBezTo>
                    <a:pt x="95157" y="1595437"/>
                    <a:pt x="0" y="1238219"/>
                    <a:pt x="0" y="797719"/>
                  </a:cubicBezTo>
                  <a:cubicBezTo>
                    <a:pt x="0" y="357219"/>
                    <a:pt x="95157" y="0"/>
                    <a:pt x="212636" y="0"/>
                  </a:cubicBezTo>
                  <a:lnTo>
                    <a:pt x="1064961" y="0"/>
                  </a:lnTo>
                  <a:close/>
                </a:path>
              </a:pathLst>
            </a:custGeom>
            <a:gradFill>
              <a:gsLst>
                <a:gs pos="51000">
                  <a:srgbClr val="FDFDFD"/>
                </a:gs>
                <a:gs pos="98540">
                  <a:srgbClr val="EAEBF0"/>
                </a:gs>
                <a:gs pos="0">
                  <a:srgbClr val="A8ACB0"/>
                </a:gs>
              </a:gsLst>
              <a:lin ang="5400000" scaled="0"/>
            </a:gra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67" name="Oval 66">
              <a:extLst>
                <a:ext uri="{FF2B5EF4-FFF2-40B4-BE49-F238E27FC236}">
                  <a16:creationId xmlns:a16="http://schemas.microsoft.com/office/drawing/2014/main" id="{00000000-0008-0000-0000-000043000000}"/>
                </a:ext>
              </a:extLst>
            </xdr:cNvPr>
            <xdr:cNvSpPr/>
          </xdr:nvSpPr>
          <xdr:spPr>
            <a:xfrm>
              <a:off x="2967470" y="8173100"/>
              <a:ext cx="256887" cy="259200"/>
            </a:xfrm>
            <a:prstGeom prst="ellipse">
              <a:avLst/>
            </a:prstGeom>
            <a:solidFill>
              <a:srgbClr val="FF3300"/>
            </a:solidFill>
            <a:ln>
              <a:noFill/>
            </a:ln>
            <a:scene3d>
              <a:camera prst="orthographicFront"/>
              <a:lightRig rig="threePt" dir="t"/>
            </a:scene3d>
            <a:sp3d>
              <a:bevelT w="127000" h="635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68" name="Freeform 67">
              <a:extLst>
                <a:ext uri="{FF2B5EF4-FFF2-40B4-BE49-F238E27FC236}">
                  <a16:creationId xmlns:a16="http://schemas.microsoft.com/office/drawing/2014/main" id="{00000000-0008-0000-0000-000044000000}"/>
                </a:ext>
              </a:extLst>
            </xdr:cNvPr>
            <xdr:cNvSpPr/>
          </xdr:nvSpPr>
          <xdr:spPr>
            <a:xfrm rot="16200000">
              <a:off x="974184" y="3742631"/>
              <a:ext cx="4266686" cy="1585628"/>
            </a:xfrm>
            <a:custGeom>
              <a:avLst/>
              <a:gdLst>
                <a:gd name="connsiteX0" fmla="*/ 4266687 w 4266687"/>
                <a:gd name="connsiteY0" fmla="*/ 0 h 1590131"/>
                <a:gd name="connsiteX1" fmla="*/ 4029573 w 4266687"/>
                <a:gd name="connsiteY1" fmla="*/ 794488 h 1590131"/>
                <a:gd name="connsiteX2" fmla="*/ 4266687 w 4266687"/>
                <a:gd name="connsiteY2" fmla="*/ 1588976 h 1590131"/>
                <a:gd name="connsiteX3" fmla="*/ 3185604 w 4266687"/>
                <a:gd name="connsiteY3" fmla="*/ 1588976 h 1590131"/>
                <a:gd name="connsiteX4" fmla="*/ 3081401 w 4266687"/>
                <a:gd name="connsiteY4" fmla="*/ 1588976 h 1590131"/>
                <a:gd name="connsiteX5" fmla="*/ 2496656 w 4266687"/>
                <a:gd name="connsiteY5" fmla="*/ 1588976 h 1590131"/>
                <a:gd name="connsiteX6" fmla="*/ 2503483 w 4266687"/>
                <a:gd name="connsiteY6" fmla="*/ 1590131 h 1590131"/>
                <a:gd name="connsiteX7" fmla="*/ 1422400 w 4266687"/>
                <a:gd name="connsiteY7" fmla="*/ 1590131 h 1590131"/>
                <a:gd name="connsiteX8" fmla="*/ 1318197 w 4266687"/>
                <a:gd name="connsiteY8" fmla="*/ 1590131 h 1590131"/>
                <a:gd name="connsiteX9" fmla="*/ 237114 w 4266687"/>
                <a:gd name="connsiteY9" fmla="*/ 1590131 h 1590131"/>
                <a:gd name="connsiteX10" fmla="*/ 0 w 4266687"/>
                <a:gd name="connsiteY10" fmla="*/ 795643 h 1590131"/>
                <a:gd name="connsiteX11" fmla="*/ 237114 w 4266687"/>
                <a:gd name="connsiteY11" fmla="*/ 1155 h 1590131"/>
                <a:gd name="connsiteX12" fmla="*/ 1318197 w 4266687"/>
                <a:gd name="connsiteY12" fmla="*/ 1155 h 1590131"/>
                <a:gd name="connsiteX13" fmla="*/ 1422400 w 4266687"/>
                <a:gd name="connsiteY13" fmla="*/ 1155 h 1590131"/>
                <a:gd name="connsiteX14" fmla="*/ 1993491 w 4266687"/>
                <a:gd name="connsiteY14" fmla="*/ 1155 h 1590131"/>
                <a:gd name="connsiteX15" fmla="*/ 2000318 w 4266687"/>
                <a:gd name="connsiteY15" fmla="*/ 0 h 1590131"/>
                <a:gd name="connsiteX16" fmla="*/ 3081401 w 4266687"/>
                <a:gd name="connsiteY16" fmla="*/ 0 h 1590131"/>
                <a:gd name="connsiteX17" fmla="*/ 3185604 w 4266687"/>
                <a:gd name="connsiteY17" fmla="*/ 0 h 159013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</a:cxnLst>
              <a:rect l="l" t="t" r="r" b="b"/>
              <a:pathLst>
                <a:path w="4266687" h="1590131">
                  <a:moveTo>
                    <a:pt x="4266687" y="0"/>
                  </a:moveTo>
                  <a:cubicBezTo>
                    <a:pt x="4135684" y="0"/>
                    <a:pt x="4029573" y="355772"/>
                    <a:pt x="4029573" y="794488"/>
                  </a:cubicBezTo>
                  <a:cubicBezTo>
                    <a:pt x="4029573" y="1233205"/>
                    <a:pt x="4135684" y="1588976"/>
                    <a:pt x="4266687" y="1588976"/>
                  </a:cubicBezTo>
                  <a:lnTo>
                    <a:pt x="3185604" y="1588976"/>
                  </a:lnTo>
                  <a:lnTo>
                    <a:pt x="3081401" y="1588976"/>
                  </a:lnTo>
                  <a:lnTo>
                    <a:pt x="2496656" y="1588976"/>
                  </a:lnTo>
                  <a:lnTo>
                    <a:pt x="2503483" y="1590131"/>
                  </a:lnTo>
                  <a:lnTo>
                    <a:pt x="1422400" y="1590131"/>
                  </a:lnTo>
                  <a:lnTo>
                    <a:pt x="1318197" y="1590131"/>
                  </a:lnTo>
                  <a:lnTo>
                    <a:pt x="237114" y="1590131"/>
                  </a:lnTo>
                  <a:cubicBezTo>
                    <a:pt x="106111" y="1590131"/>
                    <a:pt x="0" y="1234360"/>
                    <a:pt x="0" y="795643"/>
                  </a:cubicBezTo>
                  <a:cubicBezTo>
                    <a:pt x="0" y="356927"/>
                    <a:pt x="106111" y="1155"/>
                    <a:pt x="237114" y="1155"/>
                  </a:cubicBezTo>
                  <a:lnTo>
                    <a:pt x="1318197" y="1155"/>
                  </a:lnTo>
                  <a:lnTo>
                    <a:pt x="1422400" y="1155"/>
                  </a:lnTo>
                  <a:lnTo>
                    <a:pt x="1993491" y="1155"/>
                  </a:lnTo>
                  <a:lnTo>
                    <a:pt x="2000318" y="0"/>
                  </a:lnTo>
                  <a:lnTo>
                    <a:pt x="3081401" y="0"/>
                  </a:lnTo>
                  <a:lnTo>
                    <a:pt x="3185604" y="0"/>
                  </a:lnTo>
                  <a:close/>
                </a:path>
              </a:pathLst>
            </a:custGeom>
            <a:gradFill>
              <a:gsLst>
                <a:gs pos="7000">
                  <a:srgbClr val="C4C8CB">
                    <a:alpha val="0"/>
                    <a:lumMod val="70000"/>
                    <a:lumOff val="30000"/>
                  </a:srgbClr>
                </a:gs>
                <a:gs pos="26000">
                  <a:schemeClr val="bg1">
                    <a:alpha val="25000"/>
                  </a:schemeClr>
                </a:gs>
                <a:gs pos="24000">
                  <a:srgbClr val="FFFFFF">
                    <a:alpha val="0"/>
                  </a:srgbClr>
                </a:gs>
                <a:gs pos="93000">
                  <a:srgbClr val="F8F8F9">
                    <a:alpha val="0"/>
                  </a:srgbClr>
                </a:gs>
                <a:gs pos="100000">
                  <a:srgbClr val="969696"/>
                </a:gs>
                <a:gs pos="0">
                  <a:schemeClr val="bg1">
                    <a:lumMod val="59000"/>
                  </a:schemeClr>
                </a:gs>
              </a:gsLst>
              <a:lin ang="5400000" scaled="0"/>
            </a:gra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361950</xdr:colOff>
          <xdr:row>2</xdr:row>
          <xdr:rowOff>19050</xdr:rowOff>
        </xdr:from>
        <xdr:to>
          <xdr:col>16</xdr:col>
          <xdr:colOff>95250</xdr:colOff>
          <xdr:row>3</xdr:row>
          <xdr:rowOff>9525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12</xdr:col>
      <xdr:colOff>313764</xdr:colOff>
      <xdr:row>1</xdr:row>
      <xdr:rowOff>156882</xdr:rowOff>
    </xdr:from>
    <xdr:to>
      <xdr:col>14</xdr:col>
      <xdr:colOff>459441</xdr:colOff>
      <xdr:row>3</xdr:row>
      <xdr:rowOff>11206</xdr:rowOff>
    </xdr:to>
    <xdr:sp macro="" textlink="Processing!G1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575176" y="347382"/>
          <a:ext cx="1355912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92454B69-CCD3-4A91-B66C-92C0D73A25C6}" type="TxLink">
            <a:rPr lang="en-US" sz="2000" b="1" i="0" u="none" strike="noStrike">
              <a:solidFill>
                <a:schemeClr val="bg1"/>
              </a:solidFill>
              <a:latin typeface="Calibri"/>
              <a:cs typeface="Calibri"/>
            </a:rPr>
            <a:pPr algn="r"/>
            <a:t>КВАРТАЛ:</a:t>
          </a:fld>
          <a:endParaRPr lang="ru-RU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307601</xdr:colOff>
      <xdr:row>3</xdr:row>
      <xdr:rowOff>166407</xdr:rowOff>
    </xdr:from>
    <xdr:to>
      <xdr:col>14</xdr:col>
      <xdr:colOff>453278</xdr:colOff>
      <xdr:row>5</xdr:row>
      <xdr:rowOff>163606</xdr:rowOff>
    </xdr:to>
    <xdr:sp macro="" textlink="Processing!I1">
      <xdr:nvSpPr>
        <xdr:cNvPr id="52" name="TextBox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 txBox="1"/>
      </xdr:nvSpPr>
      <xdr:spPr>
        <a:xfrm>
          <a:off x="7622801" y="880782"/>
          <a:ext cx="1364877" cy="3781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9C2DB72D-AB1E-418A-8929-F4EDFB8773AD}" type="TxLink">
            <a:rPr lang="en-US" sz="2000" b="1" i="0" u="none" strike="noStrike">
              <a:solidFill>
                <a:schemeClr val="bg1"/>
              </a:solidFill>
              <a:latin typeface="Calibri"/>
              <a:cs typeface="Calibri"/>
            </a:rPr>
            <a:pPr algn="r"/>
            <a:t>МАКРОСЫ:</a:t>
          </a:fld>
          <a:endParaRPr lang="en-US" sz="2000" b="1" i="0" u="none" strike="noStrike">
            <a:solidFill>
              <a:schemeClr val="bg1"/>
            </a:solidFill>
            <a:latin typeface="+mn-lt"/>
            <a:cs typeface="Calibri"/>
          </a:endParaRPr>
        </a:p>
      </xdr:txBody>
    </xdr:sp>
    <xdr:clientData/>
  </xdr:twoCellAnchor>
  <xdr:twoCellAnchor>
    <xdr:from>
      <xdr:col>12</xdr:col>
      <xdr:colOff>31376</xdr:colOff>
      <xdr:row>17</xdr:row>
      <xdr:rowOff>99732</xdr:rowOff>
    </xdr:from>
    <xdr:to>
      <xdr:col>14</xdr:col>
      <xdr:colOff>177053</xdr:colOff>
      <xdr:row>19</xdr:row>
      <xdr:rowOff>96931</xdr:rowOff>
    </xdr:to>
    <xdr:sp macro="" textlink="Processing!A7">
      <xdr:nvSpPr>
        <xdr:cNvPr id="53" name="TextBox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 txBox="1"/>
      </xdr:nvSpPr>
      <xdr:spPr>
        <a:xfrm>
          <a:off x="7346576" y="3481107"/>
          <a:ext cx="1364877" cy="3781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FB566C17-6C67-45A5-8B7F-7B6A641CFE12}" type="TxLink">
            <a:rPr lang="en-US" sz="2000" b="0" i="0" u="none" strike="noStrike">
              <a:solidFill>
                <a:srgbClr val="000000"/>
              </a:solidFill>
              <a:latin typeface="Impact" panose="020B0806030902050204" pitchFamily="34" charset="0"/>
              <a:cs typeface="Calibri"/>
            </a:rPr>
            <a:pPr algn="ctr"/>
            <a:t>ИТОГО</a:t>
          </a:fld>
          <a:endParaRPr lang="en-US" sz="2000" b="1" i="0" u="none" strike="noStrike">
            <a:solidFill>
              <a:schemeClr val="tx1"/>
            </a:solidFill>
            <a:latin typeface="Impact" panose="020B0806030902050204" pitchFamily="34" charset="0"/>
            <a:cs typeface="Calibri"/>
          </a:endParaRPr>
        </a:p>
      </xdr:txBody>
    </xdr:sp>
    <xdr:clientData/>
  </xdr:twoCellAnchor>
  <xdr:twoCellAnchor>
    <xdr:from>
      <xdr:col>2</xdr:col>
      <xdr:colOff>561974</xdr:colOff>
      <xdr:row>19</xdr:row>
      <xdr:rowOff>171450</xdr:rowOff>
    </xdr:from>
    <xdr:to>
      <xdr:col>11</xdr:col>
      <xdr:colOff>466724</xdr:colOff>
      <xdr:row>22</xdr:row>
      <xdr:rowOff>161925</xdr:rowOff>
    </xdr:to>
    <xdr:grpSp>
      <xdr:nvGrpSpPr>
        <xdr:cNvPr id="13" name="Группа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781174" y="3933825"/>
          <a:ext cx="5391150" cy="561975"/>
          <a:chOff x="1781174" y="3933825"/>
          <a:chExt cx="5391150" cy="561975"/>
        </a:xfrm>
      </xdr:grpSpPr>
      <xdr:sp macro="" textlink="Processing!E2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 txBox="1"/>
        </xdr:nvSpPr>
        <xdr:spPr>
          <a:xfrm>
            <a:off x="1781174" y="3933825"/>
            <a:ext cx="733425" cy="561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CA6585D6-4366-430C-877D-18F1EEB89EF6}" type="TxLink">
              <a:rPr lang="en-US" sz="1800" b="0" i="0" u="none" strike="noStrike">
                <a:solidFill>
                  <a:srgbClr val="FF3300"/>
                </a:solidFill>
                <a:latin typeface="Impact" panose="020B0806030902050204" pitchFamily="34" charset="0"/>
                <a:cs typeface="Calibri"/>
              </a:rPr>
              <a:pPr/>
              <a:t>25%</a:t>
            </a:fld>
            <a:endParaRPr lang="ru-RU" sz="1800">
              <a:solidFill>
                <a:srgbClr val="FF3300"/>
              </a:solidFill>
              <a:latin typeface="Impact" panose="020B0806030902050204" pitchFamily="34" charset="0"/>
            </a:endParaRPr>
          </a:p>
        </xdr:txBody>
      </xdr:sp>
      <xdr:sp macro="" textlink="Processing!E3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 txBox="1"/>
        </xdr:nvSpPr>
        <xdr:spPr>
          <a:xfrm>
            <a:off x="2945605" y="3933825"/>
            <a:ext cx="733425" cy="561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C2A69B15-5D7D-4A3C-BF93-989B2506E7E5}" type="TxLink">
              <a:rPr lang="en-US" sz="1800" b="0" i="0" u="none" strike="noStrike">
                <a:solidFill>
                  <a:srgbClr val="E10186"/>
                </a:solidFill>
                <a:latin typeface="Impact" panose="020B0806030902050204" pitchFamily="34" charset="0"/>
                <a:cs typeface="Calibri"/>
              </a:rPr>
              <a:pPr/>
              <a:t>50%</a:t>
            </a:fld>
            <a:endParaRPr lang="ru-RU" sz="1800">
              <a:solidFill>
                <a:srgbClr val="E10186"/>
              </a:solidFill>
              <a:latin typeface="Impact" panose="020B0806030902050204" pitchFamily="34" charset="0"/>
            </a:endParaRPr>
          </a:p>
        </xdr:txBody>
      </xdr:sp>
      <xdr:sp macro="" textlink="Processing!E5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 txBox="1"/>
        </xdr:nvSpPr>
        <xdr:spPr>
          <a:xfrm>
            <a:off x="5274467" y="3933825"/>
            <a:ext cx="733425" cy="561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DAAA2A0-052C-4D61-B919-1E03E20359D7}" type="TxLink">
              <a:rPr lang="en-US" sz="1800" b="0" i="0" u="none" strike="noStrike">
                <a:solidFill>
                  <a:srgbClr val="31A2B9"/>
                </a:solidFill>
                <a:latin typeface="Impact" panose="020B0806030902050204" pitchFamily="34" charset="0"/>
                <a:cs typeface="Calibri"/>
              </a:rPr>
              <a:pPr/>
              <a:t>58%</a:t>
            </a:fld>
            <a:endParaRPr lang="ru-RU" sz="1800">
              <a:solidFill>
                <a:srgbClr val="31A2B9"/>
              </a:solidFill>
              <a:latin typeface="Impact" panose="020B0806030902050204" pitchFamily="34" charset="0"/>
            </a:endParaRPr>
          </a:p>
        </xdr:txBody>
      </xdr:sp>
      <xdr:sp macro="" textlink="Processing!E4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SpPr txBox="1"/>
        </xdr:nvSpPr>
        <xdr:spPr>
          <a:xfrm>
            <a:off x="4110036" y="3933825"/>
            <a:ext cx="733425" cy="561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D009AF5B-C7F5-442A-BC5B-BDC3B6265145}" type="TxLink">
              <a:rPr lang="en-US" sz="1800" b="0" i="0" u="none" strike="noStrike">
                <a:solidFill>
                  <a:srgbClr val="A62CBE"/>
                </a:solidFill>
                <a:latin typeface="Impact" panose="020B0806030902050204" pitchFamily="34" charset="0"/>
                <a:cs typeface="Calibri"/>
              </a:rPr>
              <a:pPr/>
              <a:t>75%</a:t>
            </a:fld>
            <a:endParaRPr lang="ru-RU" sz="1800">
              <a:solidFill>
                <a:srgbClr val="A62CBE"/>
              </a:solidFill>
              <a:latin typeface="Impact" panose="020B0806030902050204" pitchFamily="34" charset="0"/>
            </a:endParaRPr>
          </a:p>
        </xdr:txBody>
      </xdr:sp>
      <xdr:sp macro="" textlink="Processing!E6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 txBox="1"/>
        </xdr:nvSpPr>
        <xdr:spPr>
          <a:xfrm>
            <a:off x="6438899" y="3933825"/>
            <a:ext cx="733425" cy="561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DAAAC56D-D3FC-440A-BB26-77BF06A7F07B}" type="TxLink">
              <a:rPr lang="en-US" sz="1800" b="0" i="0" u="none" strike="noStrike">
                <a:solidFill>
                  <a:srgbClr val="5FB832"/>
                </a:solidFill>
                <a:latin typeface="Impact" panose="020B0806030902050204" pitchFamily="34" charset="0"/>
                <a:cs typeface="Calibri"/>
              </a:rPr>
              <a:pPr/>
              <a:t>90%</a:t>
            </a:fld>
            <a:endParaRPr lang="ru-RU" sz="1800">
              <a:solidFill>
                <a:srgbClr val="5FB832"/>
              </a:solidFill>
              <a:latin typeface="Impact" panose="020B0806030902050204" pitchFamily="34" charset="0"/>
            </a:endParaRPr>
          </a:p>
        </xdr:txBody>
      </xdr:sp>
    </xdr:grpSp>
    <xdr:clientData/>
  </xdr:twoCellAnchor>
  <xdr:twoCellAnchor>
    <xdr:from>
      <xdr:col>12</xdr:col>
      <xdr:colOff>247649</xdr:colOff>
      <xdr:row>19</xdr:row>
      <xdr:rowOff>28575</xdr:rowOff>
    </xdr:from>
    <xdr:to>
      <xdr:col>14</xdr:col>
      <xdr:colOff>447675</xdr:colOff>
      <xdr:row>22</xdr:row>
      <xdr:rowOff>19050</xdr:rowOff>
    </xdr:to>
    <xdr:sp macro="" textlink="Processing!E7">
      <xdr:nvSpPr>
        <xdr:cNvPr id="59" name="TextBox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/>
      </xdr:nvSpPr>
      <xdr:spPr>
        <a:xfrm>
          <a:off x="7562849" y="3790950"/>
          <a:ext cx="1419226" cy="561975"/>
        </a:xfrm>
        <a:prstGeom prst="rect">
          <a:avLst/>
        </a:prstGeom>
        <a:noFill/>
        <a:ln w="9525" cmpd="sng">
          <a:noFill/>
        </a:ln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8A732C6-DD3C-4C65-B254-077B79A92266}" type="TxLink">
            <a:rPr lang="en-US" sz="3600" b="0" i="0" u="none" strike="noStrike">
              <a:solidFill>
                <a:schemeClr val="bg1"/>
              </a:solidFill>
              <a:latin typeface="Impact" panose="020B0806030902050204" pitchFamily="34" charset="0"/>
              <a:cs typeface="Calibri"/>
            </a:rPr>
            <a:pPr/>
            <a:t>60%</a:t>
          </a:fld>
          <a:endParaRPr lang="ru-RU" sz="3600">
            <a:solidFill>
              <a:schemeClr val="bg1"/>
            </a:solidFill>
            <a:latin typeface="Impact" panose="020B080603090205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</xdr:row>
          <xdr:rowOff>180975</xdr:rowOff>
        </xdr:from>
        <xdr:to>
          <xdr:col>16</xdr:col>
          <xdr:colOff>104775</xdr:colOff>
          <xdr:row>6</xdr:row>
          <xdr:rowOff>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180975</xdr:rowOff>
    </xdr:from>
    <xdr:to>
      <xdr:col>1</xdr:col>
      <xdr:colOff>180364</xdr:colOff>
      <xdr:row>11</xdr:row>
      <xdr:rowOff>130066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0" y="2063563"/>
          <a:ext cx="785482" cy="330091"/>
          <a:chOff x="0" y="0"/>
          <a:chExt cx="1584102" cy="658023"/>
        </a:xfrm>
      </xdr:grpSpPr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0" y="276895"/>
            <a:ext cx="1584102" cy="381128"/>
          </a:xfrm>
          <a:prstGeom prst="rect">
            <a:avLst/>
          </a:prstGeom>
          <a:gradFill>
            <a:gsLst>
              <a:gs pos="0">
                <a:srgbClr val="D84A1C"/>
              </a:gs>
              <a:gs pos="77000">
                <a:srgbClr val="FFC40C">
                  <a:alpha val="46000"/>
                </a:srgbClr>
              </a:gs>
              <a:gs pos="100000">
                <a:srgbClr val="D84A1C"/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6" name="Oval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0" y="0"/>
            <a:ext cx="1584102" cy="553791"/>
          </a:xfrm>
          <a:prstGeom prst="ellipse">
            <a:avLst/>
          </a:prstGeom>
          <a:gradFill flip="none" rotWithShape="1">
            <a:gsLst>
              <a:gs pos="0">
                <a:srgbClr val="FFC40C"/>
              </a:gs>
              <a:gs pos="96000">
                <a:srgbClr val="D84A1C"/>
              </a:gs>
            </a:gsLst>
            <a:lin ang="0" scaled="0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0</xdr:col>
      <xdr:colOff>0</xdr:colOff>
      <xdr:row>11</xdr:row>
      <xdr:rowOff>180975</xdr:rowOff>
    </xdr:from>
    <xdr:to>
      <xdr:col>1</xdr:col>
      <xdr:colOff>180364</xdr:colOff>
      <xdr:row>16</xdr:row>
      <xdr:rowOff>64644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0" y="2295525"/>
          <a:ext cx="789964" cy="836169"/>
        </a:xfrm>
        <a:prstGeom prst="rect">
          <a:avLst/>
        </a:prstGeom>
        <a:gradFill>
          <a:gsLst>
            <a:gs pos="0">
              <a:srgbClr val="D84A1C"/>
            </a:gs>
            <a:gs pos="77000">
              <a:srgbClr val="FFC40C">
                <a:alpha val="46000"/>
              </a:srgbClr>
            </a:gs>
            <a:gs pos="100000">
              <a:srgbClr val="D84A1C"/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2</xdr:col>
      <xdr:colOff>5443</xdr:colOff>
      <xdr:row>11</xdr:row>
      <xdr:rowOff>180975</xdr:rowOff>
    </xdr:from>
    <xdr:to>
      <xdr:col>3</xdr:col>
      <xdr:colOff>185807</xdr:colOff>
      <xdr:row>16</xdr:row>
      <xdr:rowOff>64644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224643" y="2295525"/>
          <a:ext cx="789964" cy="836169"/>
        </a:xfrm>
        <a:prstGeom prst="rect">
          <a:avLst/>
        </a:prstGeom>
        <a:gradFill>
          <a:gsLst>
            <a:gs pos="0">
              <a:srgbClr val="651864"/>
            </a:gs>
            <a:gs pos="77000">
              <a:srgbClr val="D50181">
                <a:alpha val="46000"/>
              </a:srgbClr>
            </a:gs>
            <a:gs pos="100000">
              <a:srgbClr val="972693"/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2</xdr:col>
      <xdr:colOff>5443</xdr:colOff>
      <xdr:row>9</xdr:row>
      <xdr:rowOff>180975</xdr:rowOff>
    </xdr:from>
    <xdr:to>
      <xdr:col>3</xdr:col>
      <xdr:colOff>185807</xdr:colOff>
      <xdr:row>11</xdr:row>
      <xdr:rowOff>130066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pSpPr/>
      </xdr:nvGrpSpPr>
      <xdr:grpSpPr>
        <a:xfrm>
          <a:off x="1215678" y="2063563"/>
          <a:ext cx="785482" cy="330091"/>
          <a:chOff x="3235325" y="3342477"/>
          <a:chExt cx="1584102" cy="658023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3235325" y="3619372"/>
            <a:ext cx="1584102" cy="381128"/>
          </a:xfrm>
          <a:prstGeom prst="rect">
            <a:avLst/>
          </a:prstGeom>
          <a:gradFill>
            <a:gsLst>
              <a:gs pos="0">
                <a:srgbClr val="651864"/>
              </a:gs>
              <a:gs pos="77000">
                <a:srgbClr val="D50181">
                  <a:alpha val="46000"/>
                </a:srgbClr>
              </a:gs>
              <a:gs pos="100000">
                <a:srgbClr val="972693"/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11" name="Oval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>
            <a:off x="3235325" y="3342477"/>
            <a:ext cx="1584102" cy="553791"/>
          </a:xfrm>
          <a:prstGeom prst="ellipse">
            <a:avLst/>
          </a:prstGeom>
          <a:gradFill flip="none" rotWithShape="1">
            <a:gsLst>
              <a:gs pos="0">
                <a:srgbClr val="E10186"/>
              </a:gs>
              <a:gs pos="96000">
                <a:srgbClr val="BB2FB8"/>
              </a:gs>
            </a:gsLst>
            <a:lin ang="0" scaled="0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</xdr:col>
      <xdr:colOff>10886</xdr:colOff>
      <xdr:row>9</xdr:row>
      <xdr:rowOff>180975</xdr:rowOff>
    </xdr:from>
    <xdr:to>
      <xdr:col>5</xdr:col>
      <xdr:colOff>191249</xdr:colOff>
      <xdr:row>11</xdr:row>
      <xdr:rowOff>130066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2431357" y="2063563"/>
          <a:ext cx="785480" cy="330091"/>
          <a:chOff x="0" y="0"/>
          <a:chExt cx="1584102" cy="658023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0" y="276895"/>
            <a:ext cx="1584102" cy="381128"/>
          </a:xfrm>
          <a:prstGeom prst="rect">
            <a:avLst/>
          </a:prstGeom>
          <a:gradFill>
            <a:gsLst>
              <a:gs pos="0">
                <a:srgbClr val="2A3D99"/>
              </a:gs>
              <a:gs pos="77000">
                <a:srgbClr val="BE5CC0">
                  <a:alpha val="46000"/>
                </a:srgbClr>
              </a:gs>
              <a:gs pos="100000">
                <a:srgbClr val="2A3D99"/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14" name="Oval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0" y="0"/>
            <a:ext cx="1584102" cy="553791"/>
          </a:xfrm>
          <a:prstGeom prst="ellipse">
            <a:avLst/>
          </a:prstGeom>
          <a:gradFill flip="none" rotWithShape="1">
            <a:gsLst>
              <a:gs pos="0">
                <a:srgbClr val="BE5CC0"/>
              </a:gs>
              <a:gs pos="96000">
                <a:srgbClr val="2A3D99"/>
              </a:gs>
            </a:gsLst>
            <a:lin ang="0" scaled="0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</xdr:col>
      <xdr:colOff>10886</xdr:colOff>
      <xdr:row>11</xdr:row>
      <xdr:rowOff>180975</xdr:rowOff>
    </xdr:from>
    <xdr:to>
      <xdr:col>5</xdr:col>
      <xdr:colOff>191249</xdr:colOff>
      <xdr:row>16</xdr:row>
      <xdr:rowOff>64644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2449286" y="2295525"/>
          <a:ext cx="789963" cy="836169"/>
        </a:xfrm>
        <a:prstGeom prst="rect">
          <a:avLst/>
        </a:prstGeom>
        <a:gradFill>
          <a:gsLst>
            <a:gs pos="0">
              <a:srgbClr val="2A3D99"/>
            </a:gs>
            <a:gs pos="77000">
              <a:srgbClr val="BE5CC0">
                <a:alpha val="46000"/>
              </a:srgbClr>
            </a:gs>
            <a:gs pos="100000">
              <a:srgbClr val="2A3D99"/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6</xdr:col>
      <xdr:colOff>16329</xdr:colOff>
      <xdr:row>9</xdr:row>
      <xdr:rowOff>180975</xdr:rowOff>
    </xdr:from>
    <xdr:to>
      <xdr:col>7</xdr:col>
      <xdr:colOff>196692</xdr:colOff>
      <xdr:row>11</xdr:row>
      <xdr:rowOff>130066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3647035" y="2063563"/>
          <a:ext cx="852716" cy="330091"/>
          <a:chOff x="0" y="0"/>
          <a:chExt cx="1584102" cy="658023"/>
        </a:xfrm>
      </xdr:grpSpPr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/>
        </xdr:nvSpPr>
        <xdr:spPr>
          <a:xfrm>
            <a:off x="0" y="276895"/>
            <a:ext cx="1584102" cy="381128"/>
          </a:xfrm>
          <a:prstGeom prst="rect">
            <a:avLst/>
          </a:prstGeom>
          <a:gradFill>
            <a:gsLst>
              <a:gs pos="0">
                <a:srgbClr val="038768"/>
              </a:gs>
              <a:gs pos="77000">
                <a:srgbClr val="00B2D9">
                  <a:alpha val="46000"/>
                </a:srgbClr>
              </a:gs>
              <a:gs pos="100000">
                <a:srgbClr val="038768"/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18" name="Oval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0" y="0"/>
            <a:ext cx="1584102" cy="553791"/>
          </a:xfrm>
          <a:prstGeom prst="ellipse">
            <a:avLst/>
          </a:prstGeom>
          <a:gradFill flip="none" rotWithShape="1">
            <a:gsLst>
              <a:gs pos="0">
                <a:srgbClr val="00B2D9"/>
              </a:gs>
              <a:gs pos="96000">
                <a:srgbClr val="038768"/>
              </a:gs>
            </a:gsLst>
            <a:lin ang="0" scaled="0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</xdr:col>
      <xdr:colOff>16329</xdr:colOff>
      <xdr:row>11</xdr:row>
      <xdr:rowOff>180975</xdr:rowOff>
    </xdr:from>
    <xdr:to>
      <xdr:col>7</xdr:col>
      <xdr:colOff>196692</xdr:colOff>
      <xdr:row>16</xdr:row>
      <xdr:rowOff>64644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3673929" y="2295525"/>
          <a:ext cx="789963" cy="836169"/>
        </a:xfrm>
        <a:prstGeom prst="rect">
          <a:avLst/>
        </a:prstGeom>
        <a:gradFill>
          <a:gsLst>
            <a:gs pos="0">
              <a:srgbClr val="038768"/>
            </a:gs>
            <a:gs pos="77000">
              <a:srgbClr val="00B2D9">
                <a:alpha val="46000"/>
              </a:srgbClr>
            </a:gs>
            <a:gs pos="100000">
              <a:srgbClr val="038768"/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8</xdr:col>
      <xdr:colOff>21772</xdr:colOff>
      <xdr:row>9</xdr:row>
      <xdr:rowOff>180975</xdr:rowOff>
    </xdr:from>
    <xdr:to>
      <xdr:col>9</xdr:col>
      <xdr:colOff>202135</xdr:colOff>
      <xdr:row>11</xdr:row>
      <xdr:rowOff>130066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929948" y="2063563"/>
          <a:ext cx="931158" cy="330091"/>
          <a:chOff x="0" y="0"/>
          <a:chExt cx="1584102" cy="658023"/>
        </a:xfrm>
      </xdr:grpSpPr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0" y="276895"/>
            <a:ext cx="1584102" cy="381128"/>
          </a:xfrm>
          <a:prstGeom prst="rect">
            <a:avLst/>
          </a:prstGeom>
          <a:gradFill>
            <a:gsLst>
              <a:gs pos="0">
                <a:srgbClr val="539F3B"/>
              </a:gs>
              <a:gs pos="77000">
                <a:srgbClr val="E7E615">
                  <a:alpha val="46000"/>
                </a:srgbClr>
              </a:gs>
              <a:gs pos="100000">
                <a:srgbClr val="539F3B"/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22" name="Oval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0" y="0"/>
            <a:ext cx="1584102" cy="553791"/>
          </a:xfrm>
          <a:prstGeom prst="ellipse">
            <a:avLst/>
          </a:prstGeom>
          <a:gradFill flip="none" rotWithShape="1">
            <a:gsLst>
              <a:gs pos="0">
                <a:srgbClr val="E7E615"/>
              </a:gs>
              <a:gs pos="96000">
                <a:srgbClr val="539F3B"/>
              </a:gs>
            </a:gsLst>
            <a:lin ang="0" scaled="0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</xdr:col>
      <xdr:colOff>21772</xdr:colOff>
      <xdr:row>11</xdr:row>
      <xdr:rowOff>180975</xdr:rowOff>
    </xdr:from>
    <xdr:to>
      <xdr:col>9</xdr:col>
      <xdr:colOff>202135</xdr:colOff>
      <xdr:row>16</xdr:row>
      <xdr:rowOff>64644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4898572" y="2295525"/>
          <a:ext cx="789963" cy="836169"/>
        </a:xfrm>
        <a:prstGeom prst="rect">
          <a:avLst/>
        </a:prstGeom>
        <a:gradFill>
          <a:gsLst>
            <a:gs pos="0">
              <a:srgbClr val="539F3B"/>
            </a:gs>
            <a:gs pos="77000">
              <a:srgbClr val="E7E615">
                <a:alpha val="46000"/>
              </a:srgbClr>
            </a:gs>
            <a:gs pos="100000">
              <a:srgbClr val="539F3B"/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P3:X23"/>
  <sheetViews>
    <sheetView tabSelected="1" zoomScaleNormal="100" workbookViewId="0">
      <selection activeCell="U12" sqref="U12"/>
    </sheetView>
  </sheetViews>
  <sheetFormatPr defaultRowHeight="15" x14ac:dyDescent="0.25"/>
  <cols>
    <col min="1" max="14" width="9.140625" style="1"/>
    <col min="15" max="15" width="7.28515625" style="1" customWidth="1"/>
    <col min="16" max="16" width="9.140625" style="1"/>
    <col min="17" max="17" width="6" style="1" customWidth="1"/>
    <col min="18" max="16384" width="9.140625" style="1"/>
  </cols>
  <sheetData>
    <row r="3" spans="16:24" ht="26.25" x14ac:dyDescent="0.4">
      <c r="P3" s="2" t="str">
        <f>ROMAN(Processing!H1)</f>
        <v>I</v>
      </c>
      <c r="R3" s="11"/>
      <c r="S3" s="11"/>
      <c r="T3" s="11"/>
      <c r="U3" s="11"/>
      <c r="V3" s="11"/>
      <c r="W3" s="11"/>
      <c r="X3" s="11"/>
    </row>
    <row r="5" spans="16:24" x14ac:dyDescent="0.25">
      <c r="P5" s="10" t="str">
        <f>INDEX({"OFF";"ON"},Processing!J1*1+1,1)</f>
        <v>ON</v>
      </c>
      <c r="Q5" s="10"/>
    </row>
    <row r="6" spans="16:24" x14ac:dyDescent="0.25">
      <c r="P6" s="10"/>
      <c r="Q6" s="10"/>
    </row>
    <row r="12" spans="16:24" x14ac:dyDescent="0.25">
      <c r="R12" s="7"/>
    </row>
    <row r="23" spans="16:17" x14ac:dyDescent="0.25">
      <c r="P23" s="1">
        <v>8</v>
      </c>
      <c r="Q23" s="1" t="s">
        <v>26</v>
      </c>
    </row>
  </sheetData>
  <mergeCells count="2">
    <mergeCell ref="P5:Q6"/>
    <mergeCell ref="R3:X3"/>
  </mergeCells>
  <conditionalFormatting sqref="P23:Q23">
    <cfRule type="expression" dxfId="0" priority="1">
      <formula>$P$23&lt;5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pinner 1">
              <controlPr defaultSize="0" autoPict="0" macro="[0]!startanimation">
                <anchor moveWithCells="1" sizeWithCells="1">
                  <from>
                    <xdr:col>15</xdr:col>
                    <xdr:colOff>361950</xdr:colOff>
                    <xdr:row>2</xdr:row>
                    <xdr:rowOff>19050</xdr:rowOff>
                  </from>
                  <to>
                    <xdr:col>16</xdr:col>
                    <xdr:colOff>95250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15</xdr:col>
                    <xdr:colOff>0</xdr:colOff>
                    <xdr:row>3</xdr:row>
                    <xdr:rowOff>180975</xdr:rowOff>
                  </from>
                  <to>
                    <xdr:col>16</xdr:col>
                    <xdr:colOff>104775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O9"/>
  <sheetViews>
    <sheetView zoomScale="85" zoomScaleNormal="85" workbookViewId="0">
      <selection activeCell="K30" sqref="K30"/>
    </sheetView>
  </sheetViews>
  <sheetFormatPr defaultRowHeight="15" x14ac:dyDescent="0.25"/>
  <cols>
    <col min="7" max="7" width="10" bestFit="1" customWidth="1"/>
    <col min="9" max="9" width="11.28515625" bestFit="1" customWidth="1"/>
  </cols>
  <sheetData>
    <row r="1" spans="1:15" ht="16.5" customHeight="1" x14ac:dyDescent="0.25">
      <c r="B1">
        <v>1</v>
      </c>
      <c r="C1" s="5" t="s">
        <v>19</v>
      </c>
      <c r="D1">
        <v>18</v>
      </c>
      <c r="E1" s="4" t="s">
        <v>18</v>
      </c>
      <c r="G1" s="4" t="s">
        <v>17</v>
      </c>
      <c r="H1">
        <v>1</v>
      </c>
      <c r="I1" s="9" t="s">
        <v>16</v>
      </c>
      <c r="J1" t="b">
        <v>1</v>
      </c>
    </row>
    <row r="2" spans="1:15" x14ac:dyDescent="0.25">
      <c r="A2" t="s">
        <v>0</v>
      </c>
      <c r="B2" s="8">
        <f>G2</f>
        <v>25</v>
      </c>
      <c r="C2">
        <f>$D$1</f>
        <v>18</v>
      </c>
      <c r="E2" t="str">
        <f>B2&amp;"%"</f>
        <v>25%</v>
      </c>
      <c r="F2" t="s">
        <v>9</v>
      </c>
      <c r="G2">
        <f>INDEX(Data!$D$2:$D$21,MATCH(ROMAN(Processing!$H$1)&amp;Processing!A2,Data!$F$2:$F$21,0))</f>
        <v>25</v>
      </c>
    </row>
    <row r="3" spans="1:15" ht="26.25" x14ac:dyDescent="0.4">
      <c r="A3" t="s">
        <v>1</v>
      </c>
      <c r="B3" s="8">
        <f>G3</f>
        <v>50</v>
      </c>
      <c r="C3">
        <f>$D$1</f>
        <v>18</v>
      </c>
      <c r="E3" t="str">
        <f t="shared" ref="E3:E7" si="0">B3&amp;"%"</f>
        <v>50%</v>
      </c>
      <c r="F3" t="s">
        <v>10</v>
      </c>
      <c r="G3">
        <f>INDEX(Data!$D$2:$D$21,MATCH(ROMAN(Processing!$H$1)&amp;Processing!A3,Data!$F$2:$F$21,0))</f>
        <v>50</v>
      </c>
      <c r="I3" s="12"/>
      <c r="J3" s="12"/>
      <c r="K3" s="12"/>
      <c r="L3" s="12"/>
      <c r="M3" s="12"/>
      <c r="N3" s="12"/>
      <c r="O3" s="12"/>
    </row>
    <row r="4" spans="1:15" x14ac:dyDescent="0.25">
      <c r="A4" t="s">
        <v>2</v>
      </c>
      <c r="B4" s="8">
        <f>G4</f>
        <v>75</v>
      </c>
      <c r="C4">
        <f>$D$1</f>
        <v>18</v>
      </c>
      <c r="E4" t="str">
        <f t="shared" si="0"/>
        <v>75%</v>
      </c>
      <c r="F4" t="s">
        <v>11</v>
      </c>
      <c r="G4">
        <f>INDEX(Data!$D$2:$D$21,MATCH(ROMAN(Processing!$H$1)&amp;Processing!A4,Data!$F$2:$F$21,0))</f>
        <v>75</v>
      </c>
    </row>
    <row r="5" spans="1:15" x14ac:dyDescent="0.25">
      <c r="A5" t="s">
        <v>3</v>
      </c>
      <c r="B5" s="8">
        <f>G5</f>
        <v>58</v>
      </c>
      <c r="C5">
        <f>$D$1</f>
        <v>18</v>
      </c>
      <c r="E5" t="str">
        <f t="shared" si="0"/>
        <v>58%</v>
      </c>
      <c r="F5" t="s">
        <v>12</v>
      </c>
      <c r="G5">
        <f>INDEX(Data!$D$2:$D$21,MATCH(ROMAN(Processing!$H$1)&amp;Processing!A5,Data!$F$2:$F$21,0))</f>
        <v>58</v>
      </c>
    </row>
    <row r="6" spans="1:15" x14ac:dyDescent="0.25">
      <c r="A6" t="s">
        <v>4</v>
      </c>
      <c r="B6" s="8">
        <f>G6</f>
        <v>90</v>
      </c>
      <c r="C6">
        <f>$D$1</f>
        <v>18</v>
      </c>
      <c r="E6" t="str">
        <f t="shared" si="0"/>
        <v>90%</v>
      </c>
      <c r="F6" t="s">
        <v>13</v>
      </c>
      <c r="G6">
        <f>INDEX(Data!$D$2:$D$21,MATCH(ROMAN(Processing!$H$1)&amp;Processing!A6,Data!$F$2:$F$21,0))</f>
        <v>90</v>
      </c>
    </row>
    <row r="7" spans="1:15" x14ac:dyDescent="0.25">
      <c r="A7" t="s">
        <v>20</v>
      </c>
      <c r="B7">
        <f t="shared" ref="B7" si="1">G7</f>
        <v>60</v>
      </c>
      <c r="E7" t="str">
        <f t="shared" si="0"/>
        <v>60%</v>
      </c>
      <c r="G7" s="8">
        <f>ROUND(AVERAGE(B2:B6),0)</f>
        <v>60</v>
      </c>
    </row>
    <row r="9" spans="1:15" x14ac:dyDescent="0.25">
      <c r="A9" t="s">
        <v>15</v>
      </c>
      <c r="B9">
        <f>DASHBOARD!P23</f>
        <v>8</v>
      </c>
    </row>
  </sheetData>
  <mergeCells count="1">
    <mergeCell ref="I3:O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21"/>
  <sheetViews>
    <sheetView workbookViewId="0">
      <selection activeCell="D2" sqref="D2"/>
    </sheetView>
  </sheetViews>
  <sheetFormatPr defaultRowHeight="15" x14ac:dyDescent="0.25"/>
  <cols>
    <col min="1" max="1" width="12" bestFit="1" customWidth="1"/>
    <col min="6" max="6" width="10.5703125" bestFit="1" customWidth="1"/>
  </cols>
  <sheetData>
    <row r="1" spans="1:13" ht="26.25" x14ac:dyDescent="0.4">
      <c r="A1" s="4" t="s">
        <v>21</v>
      </c>
      <c r="B1" s="5" t="s">
        <v>22</v>
      </c>
      <c r="C1" s="5" t="s">
        <v>23</v>
      </c>
      <c r="D1" s="5" t="s">
        <v>24</v>
      </c>
      <c r="E1" s="5" t="s">
        <v>25</v>
      </c>
      <c r="F1" s="6" t="s">
        <v>14</v>
      </c>
      <c r="G1" s="12"/>
      <c r="H1" s="12"/>
      <c r="I1" s="12"/>
      <c r="J1" s="12"/>
      <c r="K1" s="12"/>
      <c r="L1" s="12"/>
      <c r="M1" s="12"/>
    </row>
    <row r="2" spans="1:13" x14ac:dyDescent="0.25">
      <c r="A2" t="s">
        <v>0</v>
      </c>
      <c r="B2" s="3">
        <v>300</v>
      </c>
      <c r="C2" s="3">
        <v>225</v>
      </c>
      <c r="D2" s="3">
        <f t="shared" ref="D2:D21" si="0">ROUND((B2-C2)/B2*100,0)</f>
        <v>25</v>
      </c>
      <c r="E2" s="3" t="s">
        <v>5</v>
      </c>
      <c r="F2" t="str">
        <f>E2&amp;A2</f>
        <v>IProject 1</v>
      </c>
    </row>
    <row r="3" spans="1:13" x14ac:dyDescent="0.25">
      <c r="A3" t="s">
        <v>1</v>
      </c>
      <c r="B3" s="3">
        <v>280</v>
      </c>
      <c r="C3" s="3">
        <v>140</v>
      </c>
      <c r="D3" s="3">
        <f t="shared" si="0"/>
        <v>50</v>
      </c>
      <c r="E3" s="3" t="s">
        <v>5</v>
      </c>
      <c r="F3" t="str">
        <f t="shared" ref="F3:F21" si="1">E3&amp;A3</f>
        <v>IProject 2</v>
      </c>
    </row>
    <row r="4" spans="1:13" x14ac:dyDescent="0.25">
      <c r="A4" t="s">
        <v>2</v>
      </c>
      <c r="B4" s="3">
        <v>535</v>
      </c>
      <c r="C4" s="3">
        <v>133</v>
      </c>
      <c r="D4" s="3">
        <f t="shared" si="0"/>
        <v>75</v>
      </c>
      <c r="E4" s="3" t="s">
        <v>5</v>
      </c>
      <c r="F4" t="str">
        <f t="shared" si="1"/>
        <v>IProject 3</v>
      </c>
    </row>
    <row r="5" spans="1:13" x14ac:dyDescent="0.25">
      <c r="A5" t="s">
        <v>3</v>
      </c>
      <c r="B5" s="3">
        <v>790</v>
      </c>
      <c r="C5" s="3">
        <v>331</v>
      </c>
      <c r="D5" s="3">
        <f t="shared" si="0"/>
        <v>58</v>
      </c>
      <c r="E5" s="3" t="s">
        <v>5</v>
      </c>
      <c r="F5" t="str">
        <f t="shared" si="1"/>
        <v>IProject 4</v>
      </c>
    </row>
    <row r="6" spans="1:13" x14ac:dyDescent="0.25">
      <c r="A6" t="s">
        <v>4</v>
      </c>
      <c r="B6" s="3">
        <v>950</v>
      </c>
      <c r="C6" s="3">
        <v>95</v>
      </c>
      <c r="D6" s="3">
        <f t="shared" si="0"/>
        <v>90</v>
      </c>
      <c r="E6" s="3" t="s">
        <v>5</v>
      </c>
      <c r="F6" t="str">
        <f t="shared" si="1"/>
        <v>IProject 5</v>
      </c>
    </row>
    <row r="7" spans="1:13" x14ac:dyDescent="0.25">
      <c r="A7" t="s">
        <v>0</v>
      </c>
      <c r="B7" s="3">
        <v>127</v>
      </c>
      <c r="C7" s="3">
        <v>63</v>
      </c>
      <c r="D7" s="3">
        <f t="shared" si="0"/>
        <v>50</v>
      </c>
      <c r="E7" s="3" t="s">
        <v>6</v>
      </c>
      <c r="F7" t="str">
        <f t="shared" si="1"/>
        <v>IIProject 1</v>
      </c>
    </row>
    <row r="8" spans="1:13" x14ac:dyDescent="0.25">
      <c r="A8" t="s">
        <v>1</v>
      </c>
      <c r="B8" s="3">
        <v>90</v>
      </c>
      <c r="C8" s="3">
        <v>72</v>
      </c>
      <c r="D8" s="3">
        <f t="shared" si="0"/>
        <v>20</v>
      </c>
      <c r="E8" s="3" t="s">
        <v>6</v>
      </c>
      <c r="F8" t="str">
        <f t="shared" si="1"/>
        <v>IIProject 2</v>
      </c>
    </row>
    <row r="9" spans="1:13" x14ac:dyDescent="0.25">
      <c r="A9" t="s">
        <v>2</v>
      </c>
      <c r="B9" s="3">
        <v>285</v>
      </c>
      <c r="C9" s="3">
        <v>156</v>
      </c>
      <c r="D9" s="3">
        <f t="shared" si="0"/>
        <v>45</v>
      </c>
      <c r="E9" s="3" t="s">
        <v>6</v>
      </c>
      <c r="F9" t="str">
        <f t="shared" si="1"/>
        <v>IIProject 3</v>
      </c>
    </row>
    <row r="10" spans="1:13" x14ac:dyDescent="0.25">
      <c r="A10" t="s">
        <v>3</v>
      </c>
      <c r="B10" s="3">
        <v>435</v>
      </c>
      <c r="C10" s="3">
        <v>250</v>
      </c>
      <c r="D10" s="3">
        <f t="shared" si="0"/>
        <v>43</v>
      </c>
      <c r="E10" s="3" t="s">
        <v>6</v>
      </c>
      <c r="F10" t="str">
        <f t="shared" si="1"/>
        <v>IIProject 4</v>
      </c>
    </row>
    <row r="11" spans="1:13" x14ac:dyDescent="0.25">
      <c r="A11" t="s">
        <v>4</v>
      </c>
      <c r="B11" s="3">
        <v>768</v>
      </c>
      <c r="C11" s="3">
        <v>230</v>
      </c>
      <c r="D11" s="3">
        <f t="shared" si="0"/>
        <v>70</v>
      </c>
      <c r="E11" s="3" t="s">
        <v>6</v>
      </c>
      <c r="F11" t="str">
        <f t="shared" si="1"/>
        <v>IIProject 5</v>
      </c>
    </row>
    <row r="12" spans="1:13" x14ac:dyDescent="0.25">
      <c r="A12" t="s">
        <v>0</v>
      </c>
      <c r="B12" s="3">
        <v>159</v>
      </c>
      <c r="C12" s="3">
        <v>127</v>
      </c>
      <c r="D12" s="3">
        <f t="shared" si="0"/>
        <v>20</v>
      </c>
      <c r="E12" s="3" t="s">
        <v>7</v>
      </c>
      <c r="F12" t="str">
        <f t="shared" si="1"/>
        <v>IIIProject 1</v>
      </c>
    </row>
    <row r="13" spans="1:13" x14ac:dyDescent="0.25">
      <c r="A13" t="s">
        <v>1</v>
      </c>
      <c r="B13" s="3">
        <v>324</v>
      </c>
      <c r="C13" s="3">
        <v>162</v>
      </c>
      <c r="D13" s="3">
        <f t="shared" si="0"/>
        <v>50</v>
      </c>
      <c r="E13" s="3" t="s">
        <v>7</v>
      </c>
      <c r="F13" t="str">
        <f t="shared" si="1"/>
        <v>IIIProject 2</v>
      </c>
    </row>
    <row r="14" spans="1:13" x14ac:dyDescent="0.25">
      <c r="A14" t="s">
        <v>2</v>
      </c>
      <c r="B14" s="3">
        <v>759</v>
      </c>
      <c r="C14" s="3">
        <v>683</v>
      </c>
      <c r="D14" s="3">
        <f t="shared" si="0"/>
        <v>10</v>
      </c>
      <c r="E14" s="3" t="s">
        <v>7</v>
      </c>
      <c r="F14" t="str">
        <f t="shared" si="1"/>
        <v>IIIProject 3</v>
      </c>
    </row>
    <row r="15" spans="1:13" x14ac:dyDescent="0.25">
      <c r="A15" t="s">
        <v>3</v>
      </c>
      <c r="B15" s="3">
        <v>846</v>
      </c>
      <c r="C15" s="3">
        <v>169</v>
      </c>
      <c r="D15" s="3">
        <f t="shared" si="0"/>
        <v>80</v>
      </c>
      <c r="E15" s="3" t="s">
        <v>7</v>
      </c>
      <c r="F15" t="str">
        <f t="shared" si="1"/>
        <v>IIIProject 4</v>
      </c>
    </row>
    <row r="16" spans="1:13" x14ac:dyDescent="0.25">
      <c r="A16" t="s">
        <v>4</v>
      </c>
      <c r="B16" s="3">
        <v>246</v>
      </c>
      <c r="C16" s="3">
        <v>162</v>
      </c>
      <c r="D16" s="3">
        <f t="shared" si="0"/>
        <v>34</v>
      </c>
      <c r="E16" s="3" t="s">
        <v>7</v>
      </c>
      <c r="F16" t="str">
        <f t="shared" si="1"/>
        <v>IIIProject 5</v>
      </c>
    </row>
    <row r="17" spans="1:6" x14ac:dyDescent="0.25">
      <c r="A17" t="s">
        <v>0</v>
      </c>
      <c r="B17" s="3">
        <v>321</v>
      </c>
      <c r="C17" s="3">
        <v>154</v>
      </c>
      <c r="D17" s="3">
        <f t="shared" si="0"/>
        <v>52</v>
      </c>
      <c r="E17" s="3" t="s">
        <v>8</v>
      </c>
      <c r="F17" t="str">
        <f t="shared" si="1"/>
        <v>IVProject 1</v>
      </c>
    </row>
    <row r="18" spans="1:6" x14ac:dyDescent="0.25">
      <c r="A18" t="s">
        <v>1</v>
      </c>
      <c r="B18" s="3">
        <v>459</v>
      </c>
      <c r="C18" s="3">
        <v>142</v>
      </c>
      <c r="D18" s="3">
        <f t="shared" si="0"/>
        <v>69</v>
      </c>
      <c r="E18" s="3" t="s">
        <v>8</v>
      </c>
      <c r="F18" t="str">
        <f t="shared" si="1"/>
        <v>IVProject 2</v>
      </c>
    </row>
    <row r="19" spans="1:6" x14ac:dyDescent="0.25">
      <c r="A19" t="s">
        <v>2</v>
      </c>
      <c r="B19" s="3">
        <v>123</v>
      </c>
      <c r="C19" s="3">
        <v>98</v>
      </c>
      <c r="D19" s="3">
        <f t="shared" si="0"/>
        <v>20</v>
      </c>
      <c r="E19" s="3" t="s">
        <v>8</v>
      </c>
      <c r="F19" t="str">
        <f t="shared" si="1"/>
        <v>IVProject 3</v>
      </c>
    </row>
    <row r="20" spans="1:6" x14ac:dyDescent="0.25">
      <c r="A20" t="s">
        <v>3</v>
      </c>
      <c r="B20" s="3">
        <v>789</v>
      </c>
      <c r="C20" s="3">
        <v>552</v>
      </c>
      <c r="D20" s="3">
        <f t="shared" si="0"/>
        <v>30</v>
      </c>
      <c r="E20" s="3" t="s">
        <v>8</v>
      </c>
      <c r="F20" t="str">
        <f t="shared" si="1"/>
        <v>IVProject 4</v>
      </c>
    </row>
    <row r="21" spans="1:6" x14ac:dyDescent="0.25">
      <c r="A21" t="s">
        <v>4</v>
      </c>
      <c r="B21" s="3">
        <v>456</v>
      </c>
      <c r="C21" s="3">
        <v>410</v>
      </c>
      <c r="D21" s="3">
        <f t="shared" si="0"/>
        <v>10</v>
      </c>
      <c r="E21" s="3" t="s">
        <v>8</v>
      </c>
      <c r="F21" t="str">
        <f t="shared" si="1"/>
        <v>IVProject 5</v>
      </c>
    </row>
  </sheetData>
  <mergeCells count="1">
    <mergeCell ref="G1:M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DASHBOARD</vt:lpstr>
      <vt:lpstr>Processing</vt:lpstr>
      <vt:lpstr>Data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lux</dc:creator>
  <cp:lastModifiedBy>Сергей</cp:lastModifiedBy>
  <dcterms:created xsi:type="dcterms:W3CDTF">2020-06-22T08:05:53Z</dcterms:created>
  <dcterms:modified xsi:type="dcterms:W3CDTF">2024-03-01T16:47:14Z</dcterms:modified>
</cp:coreProperties>
</file>